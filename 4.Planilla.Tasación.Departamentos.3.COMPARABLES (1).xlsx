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9885" windowHeight="2880"/>
  </bookViews>
  <sheets>
    <sheet name="DPTOS" sheetId="2" r:id="rId1"/>
    <sheet name="Hoja1" sheetId="6" state="hidden" r:id="rId2"/>
  </sheets>
  <calcPr calcId="162913"/>
</workbook>
</file>

<file path=xl/calcChain.xml><?xml version="1.0" encoding="utf-8"?>
<calcChain xmlns="http://schemas.openxmlformats.org/spreadsheetml/2006/main">
  <c r="H39" i="2" l="1"/>
  <c r="H26" i="2" l="1"/>
  <c r="F26" i="2"/>
  <c r="D26" i="2"/>
  <c r="C12" i="2" l="1"/>
  <c r="C11" i="2"/>
  <c r="C10" i="2"/>
  <c r="G11" i="2" l="1"/>
  <c r="G12" i="2"/>
  <c r="G10" i="2"/>
  <c r="H15" i="2" l="1"/>
  <c r="F15" i="2"/>
  <c r="L6" i="2"/>
  <c r="I12" i="2" s="1"/>
  <c r="L5" i="2"/>
  <c r="I11" i="2" s="1"/>
  <c r="K12" i="2" l="1"/>
  <c r="H16" i="2" s="1"/>
  <c r="K11" i="2"/>
  <c r="F16" i="2" s="1"/>
  <c r="H4" i="6"/>
  <c r="H7" i="6" s="1"/>
  <c r="H10" i="6" s="1"/>
  <c r="H13" i="6" s="1"/>
  <c r="H16" i="6" s="1"/>
  <c r="H19" i="6" s="1"/>
  <c r="H22" i="6" s="1"/>
  <c r="H25" i="6" s="1"/>
  <c r="H28" i="6" s="1"/>
  <c r="H3" i="6"/>
  <c r="H6" i="6" s="1"/>
  <c r="H9" i="6" s="1"/>
  <c r="H12" i="6" s="1"/>
  <c r="H15" i="6" s="1"/>
  <c r="H18" i="6" s="1"/>
  <c r="H21" i="6" s="1"/>
  <c r="H24" i="6" s="1"/>
  <c r="H27" i="6" s="1"/>
  <c r="H2" i="6"/>
  <c r="H5" i="6" s="1"/>
  <c r="H8" i="6" s="1"/>
  <c r="H11" i="6" s="1"/>
  <c r="H14" i="6" s="1"/>
  <c r="H17" i="6" s="1"/>
  <c r="H20" i="6" s="1"/>
  <c r="H23" i="6" s="1"/>
  <c r="H26" i="6" s="1"/>
  <c r="D3" i="6"/>
  <c r="D6" i="6" s="1"/>
  <c r="D9" i="6" s="1"/>
  <c r="D12" i="6" s="1"/>
  <c r="D15" i="6" s="1"/>
  <c r="D18" i="6" s="1"/>
  <c r="D21" i="6" s="1"/>
  <c r="D24" i="6" s="1"/>
  <c r="D27" i="6" s="1"/>
  <c r="D4" i="6"/>
  <c r="D7" i="6" s="1"/>
  <c r="D10" i="6" s="1"/>
  <c r="D13" i="6" s="1"/>
  <c r="D16" i="6" s="1"/>
  <c r="D19" i="6" s="1"/>
  <c r="D22" i="6" s="1"/>
  <c r="D25" i="6" s="1"/>
  <c r="D28" i="6" s="1"/>
  <c r="D2" i="6"/>
  <c r="D5" i="6" s="1"/>
  <c r="D8" i="6" s="1"/>
  <c r="D11" i="6" s="1"/>
  <c r="D14" i="6" s="1"/>
  <c r="D17" i="6" s="1"/>
  <c r="D20" i="6" s="1"/>
  <c r="D23" i="6" s="1"/>
  <c r="D26" i="6" s="1"/>
  <c r="C3" i="6"/>
  <c r="C6" i="6" s="1"/>
  <c r="C9" i="6" s="1"/>
  <c r="C12" i="6" s="1"/>
  <c r="C4" i="6"/>
  <c r="C7" i="6" s="1"/>
  <c r="C10" i="6" s="1"/>
  <c r="C13" i="6" s="1"/>
  <c r="C16" i="6" s="1"/>
  <c r="C19" i="6" s="1"/>
  <c r="C22" i="6" s="1"/>
  <c r="C25" i="6" s="1"/>
  <c r="C28" i="6" s="1"/>
  <c r="C2" i="6"/>
  <c r="C5" i="6" s="1"/>
  <c r="C8" i="6" s="1"/>
  <c r="C11" i="6" s="1"/>
  <c r="C14" i="6" s="1"/>
  <c r="C17" i="6" s="1"/>
  <c r="C20" i="6" s="1"/>
  <c r="C23" i="6" s="1"/>
  <c r="C26" i="6" s="1"/>
  <c r="A26" i="6"/>
  <c r="A23" i="6"/>
  <c r="A20" i="6"/>
  <c r="A17" i="6"/>
  <c r="A14" i="6"/>
  <c r="A11" i="6"/>
  <c r="A8" i="6"/>
  <c r="A5" i="6"/>
  <c r="A2" i="6"/>
  <c r="C15" i="6" l="1"/>
  <c r="C18" i="6" s="1"/>
  <c r="C21" i="6" s="1"/>
  <c r="C24" i="6" s="1"/>
  <c r="C27" i="6" s="1"/>
  <c r="E3" i="6"/>
  <c r="E6" i="6" s="1"/>
  <c r="E9" i="6" s="1"/>
  <c r="E12" i="6" s="1"/>
  <c r="E15" i="6" s="1"/>
  <c r="E18" i="6" s="1"/>
  <c r="E21" i="6" s="1"/>
  <c r="E24" i="6" s="1"/>
  <c r="E27" i="6" s="1"/>
  <c r="E4" i="6"/>
  <c r="E7" i="6" s="1"/>
  <c r="E10" i="6" s="1"/>
  <c r="E13" i="6" s="1"/>
  <c r="E16" i="6" s="1"/>
  <c r="E19" i="6" s="1"/>
  <c r="E22" i="6" s="1"/>
  <c r="E25" i="6" s="1"/>
  <c r="E28" i="6" s="1"/>
  <c r="E2" i="6"/>
  <c r="E5" i="6" s="1"/>
  <c r="E8" i="6" s="1"/>
  <c r="E11" i="6" s="1"/>
  <c r="E14" i="6" s="1"/>
  <c r="E17" i="6" s="1"/>
  <c r="E20" i="6" s="1"/>
  <c r="E23" i="6" s="1"/>
  <c r="E26" i="6" s="1"/>
  <c r="G4" i="6" l="1"/>
  <c r="G7" i="6" s="1"/>
  <c r="G10" i="6" s="1"/>
  <c r="G13" i="6" s="1"/>
  <c r="G16" i="6" s="1"/>
  <c r="G19" i="6" s="1"/>
  <c r="G22" i="6" s="1"/>
  <c r="G25" i="6" s="1"/>
  <c r="G28" i="6" s="1"/>
  <c r="G3" i="6"/>
  <c r="G6" i="6" s="1"/>
  <c r="G9" i="6" s="1"/>
  <c r="G12" i="6" s="1"/>
  <c r="G15" i="6" s="1"/>
  <c r="G18" i="6" s="1"/>
  <c r="G21" i="6" s="1"/>
  <c r="G24" i="6" s="1"/>
  <c r="G27" i="6" s="1"/>
  <c r="G2" i="6"/>
  <c r="G5" i="6" s="1"/>
  <c r="G8" i="6" s="1"/>
  <c r="G11" i="6" s="1"/>
  <c r="G14" i="6" s="1"/>
  <c r="G17" i="6" s="1"/>
  <c r="G20" i="6" s="1"/>
  <c r="G23" i="6" s="1"/>
  <c r="G26" i="6" s="1"/>
  <c r="B2" i="6" l="1"/>
  <c r="B3" i="6"/>
  <c r="B4" i="6"/>
  <c r="H27" i="2"/>
  <c r="B7" i="6" l="1"/>
  <c r="F4" i="6"/>
  <c r="B6" i="6"/>
  <c r="F3" i="6"/>
  <c r="B5" i="6"/>
  <c r="F2" i="6"/>
  <c r="I2" i="6" s="1"/>
  <c r="D15" i="2"/>
  <c r="L4" i="2"/>
  <c r="I10" i="2" s="1"/>
  <c r="K10" i="2" s="1"/>
  <c r="B8" i="6" l="1"/>
  <c r="F5" i="6"/>
  <c r="F6" i="6"/>
  <c r="B9" i="6"/>
  <c r="B10" i="6"/>
  <c r="F7" i="6"/>
  <c r="F27" i="2" l="1"/>
  <c r="D16" i="2"/>
  <c r="D27" i="2" s="1"/>
  <c r="F9" i="6"/>
  <c r="B12" i="6"/>
  <c r="I5" i="6"/>
  <c r="B13" i="6"/>
  <c r="F10" i="6"/>
  <c r="F8" i="6"/>
  <c r="B11" i="6"/>
  <c r="H29" i="2" l="1"/>
  <c r="B16" i="6"/>
  <c r="F13" i="6"/>
  <c r="B15" i="6"/>
  <c r="F12" i="6"/>
  <c r="F11" i="6"/>
  <c r="B14" i="6"/>
  <c r="I8" i="6"/>
  <c r="H35" i="2" l="1"/>
  <c r="H37" i="2"/>
  <c r="H32" i="2"/>
  <c r="H38" i="2"/>
  <c r="H36" i="2"/>
  <c r="B18" i="6"/>
  <c r="F15" i="6"/>
  <c r="B19" i="6"/>
  <c r="F16" i="6"/>
  <c r="B17" i="6"/>
  <c r="F14" i="6"/>
  <c r="I11" i="6"/>
  <c r="H40" i="2" l="1"/>
  <c r="B20" i="6"/>
  <c r="F17" i="6"/>
  <c r="F19" i="6"/>
  <c r="B22" i="6"/>
  <c r="B21" i="6"/>
  <c r="F18" i="6"/>
  <c r="I14" i="6"/>
  <c r="I17" i="6" l="1"/>
  <c r="B25" i="6"/>
  <c r="F22" i="6"/>
  <c r="B24" i="6"/>
  <c r="F21" i="6"/>
  <c r="F20" i="6"/>
  <c r="B23" i="6"/>
  <c r="I20" i="6" l="1"/>
  <c r="F23" i="6"/>
  <c r="B26" i="6"/>
  <c r="F26" i="6" s="1"/>
  <c r="F24" i="6"/>
  <c r="B27" i="6"/>
  <c r="F27" i="6" s="1"/>
  <c r="F25" i="6"/>
  <c r="B28" i="6"/>
  <c r="F28" i="6" s="1"/>
  <c r="I23" i="6" l="1"/>
  <c r="I26" i="6"/>
</calcChain>
</file>

<file path=xl/sharedStrings.xml><?xml version="1.0" encoding="utf-8"?>
<sst xmlns="http://schemas.openxmlformats.org/spreadsheetml/2006/main" count="42" uniqueCount="37">
  <si>
    <t>Comparables (dirección)</t>
  </si>
  <si>
    <t>Id</t>
  </si>
  <si>
    <t>Precio</t>
  </si>
  <si>
    <t>Valor de mercado</t>
  </si>
  <si>
    <t>Sup. Cub.</t>
  </si>
  <si>
    <t>Sup. Homog.</t>
  </si>
  <si>
    <t>V.Unitario</t>
  </si>
  <si>
    <t>Cálculo del valor unitario de los comparables</t>
  </si>
  <si>
    <t>Sup. Semi.</t>
  </si>
  <si>
    <t>Sup. Bcón.</t>
  </si>
  <si>
    <t>Sup. Descub.</t>
  </si>
  <si>
    <t>Cálculo de la superficie homogeneizada de los comparables</t>
  </si>
  <si>
    <t>Antigüedad</t>
  </si>
  <si>
    <t>Calidad constructiva</t>
  </si>
  <si>
    <t>Mantenimiento</t>
  </si>
  <si>
    <t>Ubicación</t>
  </si>
  <si>
    <t>Variable ponderada</t>
  </si>
  <si>
    <t>Cálculo del valor de tasación</t>
  </si>
  <si>
    <t>Valor unitario del comparable</t>
  </si>
  <si>
    <t>Ponderación de comparables</t>
  </si>
  <si>
    <t>Superficie</t>
  </si>
  <si>
    <t>Cubierta</t>
  </si>
  <si>
    <t>Semicubierta</t>
  </si>
  <si>
    <t>Balcón</t>
  </si>
  <si>
    <t>Factor homo</t>
  </si>
  <si>
    <t xml:space="preserve">Subtotal  </t>
  </si>
  <si>
    <t>Valor unitario resultante</t>
  </si>
  <si>
    <t>% homologación</t>
  </si>
  <si>
    <t>Cochera</t>
  </si>
  <si>
    <t>Valor unitario del m2</t>
  </si>
  <si>
    <t>Relacion Baños/Dormitorios</t>
  </si>
  <si>
    <t>Comodidades</t>
  </si>
  <si>
    <t>Estacionamiento</t>
  </si>
  <si>
    <t>Revalorización del mercado</t>
  </si>
  <si>
    <t xml:space="preserve">Descubierta </t>
  </si>
  <si>
    <t xml:space="preserve">TASACION DEPARTAMENTO  </t>
  </si>
  <si>
    <t xml:space="preserve">Cochera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</si>
</sst>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 * #,##0.00_ ;_ * \-#,##0.00_ ;_ * &quot;-&quot;??_ ;_ @_ "/>
    <numFmt numFmtId="165" formatCode="#,##0.00\ &quot;m2&quot;"/>
    <numFmt numFmtId="166" formatCode="_ * #,##0_ ;_ * \-#,##0_ ;_ * &quot;-&quot;??_ ;_ @_ "/>
    <numFmt numFmtId="167" formatCode="[$USD]\ #,##0;[$USD]\ \-#,##0"/>
    <numFmt numFmtId="168" formatCode="[$USD]\ #,##0;[Red][$USD]\ \-#,##0"/>
    <numFmt numFmtId="169" formatCode="[$USD]\ #,##0"/>
  </numFmts>
  <fonts count="1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6"/>
      <color theme="1"/>
      <name val="Calibri"/>
      <family val="2"/>
    </font>
    <font>
      <sz val="11"/>
      <color rgb="FF0070C0"/>
      <name val="Calibri"/>
      <family val="2"/>
    </font>
    <font>
      <b/>
      <sz val="16"/>
      <color theme="0"/>
      <name val="Calibri"/>
      <family val="2"/>
    </font>
    <font>
      <sz val="11"/>
      <color theme="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sz val="10"/>
      <name val="Arial"/>
      <family val="2"/>
    </font>
    <font>
      <b/>
      <sz val="16"/>
      <color rgb="FFFFFF00"/>
      <name val="Calibri"/>
      <family val="2"/>
    </font>
    <font>
      <sz val="11"/>
      <color rgb="FFFFFF00"/>
      <name val="Calibri"/>
      <family val="2"/>
    </font>
    <font>
      <b/>
      <sz val="14"/>
      <color rgb="FFFFFF00"/>
      <name val="Calibri"/>
      <family val="2"/>
    </font>
    <font>
      <sz val="12"/>
      <name val="Calibri"/>
      <family val="2"/>
    </font>
    <font>
      <sz val="11"/>
      <color rgb="FFFF0000"/>
      <name val="Calibri"/>
      <family val="2"/>
    </font>
    <font>
      <b/>
      <sz val="12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rgb="FF0070C0"/>
      </top>
      <bottom/>
      <diagonal/>
    </border>
    <border>
      <left/>
      <right/>
      <top/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rgb="FF0070C0"/>
      </left>
      <right style="hair">
        <color rgb="FF0070C0"/>
      </right>
      <top style="medium">
        <color rgb="FF0070C0"/>
      </top>
      <bottom style="hair">
        <color rgb="FF0070C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70C0"/>
      </left>
      <right style="medium">
        <color indexed="64"/>
      </right>
      <top style="hair">
        <color rgb="FF0070C0"/>
      </top>
      <bottom style="hair">
        <color rgb="FF0070C0"/>
      </bottom>
      <diagonal/>
    </border>
    <border>
      <left style="medium">
        <color indexed="64"/>
      </left>
      <right style="hair">
        <color rgb="FF0070C0"/>
      </right>
      <top style="hair">
        <color rgb="FF0070C0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medium">
        <color indexed="64"/>
      </bottom>
      <diagonal/>
    </border>
    <border>
      <left style="hair">
        <color rgb="FF0070C0"/>
      </left>
      <right style="medium">
        <color indexed="64"/>
      </right>
      <top style="hair">
        <color rgb="FF0070C0"/>
      </top>
      <bottom style="medium">
        <color indexed="64"/>
      </bottom>
      <diagonal/>
    </border>
    <border>
      <left style="medium">
        <color indexed="64"/>
      </left>
      <right/>
      <top style="medium">
        <color rgb="FF0070C0"/>
      </top>
      <bottom/>
      <diagonal/>
    </border>
    <border>
      <left/>
      <right style="medium">
        <color indexed="64"/>
      </right>
      <top style="medium">
        <color rgb="FF0070C0"/>
      </top>
      <bottom/>
      <diagonal/>
    </border>
    <border>
      <left style="medium">
        <color indexed="64"/>
      </left>
      <right/>
      <top style="medium">
        <color rgb="FF0070C0"/>
      </top>
      <bottom style="medium">
        <color rgb="FF0070C0"/>
      </bottom>
      <diagonal/>
    </border>
    <border>
      <left/>
      <right style="medium">
        <color indexed="64"/>
      </right>
      <top style="medium">
        <color rgb="FF0070C0"/>
      </top>
      <bottom style="medium">
        <color rgb="FF0070C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rgb="FF0070C0"/>
      </bottom>
      <diagonal/>
    </border>
    <border>
      <left style="medium">
        <color indexed="64"/>
      </left>
      <right style="hair">
        <color rgb="FF0070C0"/>
      </right>
      <top style="medium">
        <color rgb="FF0070C0"/>
      </top>
      <bottom style="hair">
        <color rgb="FF0070C0"/>
      </bottom>
      <diagonal/>
    </border>
    <border>
      <left style="hair">
        <color rgb="FF0070C0"/>
      </left>
      <right style="medium">
        <color indexed="64"/>
      </right>
      <top style="medium">
        <color rgb="FF0070C0"/>
      </top>
      <bottom style="hair">
        <color rgb="FF0070C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9">
    <xf numFmtId="0" fontId="0" fillId="0" borderId="0" xfId="0"/>
    <xf numFmtId="0" fontId="0" fillId="0" borderId="0" xfId="0"/>
    <xf numFmtId="0" fontId="0" fillId="0" borderId="0" xfId="0" applyProtection="1"/>
    <xf numFmtId="9" fontId="0" fillId="0" borderId="0" xfId="1" applyNumberFormat="1" applyFont="1" applyProtection="1"/>
    <xf numFmtId="0" fontId="0" fillId="0" borderId="0" xfId="0" applyFill="1" applyBorder="1" applyProtection="1"/>
    <xf numFmtId="0" fontId="0" fillId="0" borderId="3" xfId="0" applyBorder="1" applyProtection="1"/>
    <xf numFmtId="0" fontId="0" fillId="0" borderId="0" xfId="0" applyAlignment="1"/>
    <xf numFmtId="164" fontId="0" fillId="0" borderId="0" xfId="0" applyNumberFormat="1"/>
    <xf numFmtId="166" fontId="0" fillId="0" borderId="0" xfId="0" applyNumberFormat="1"/>
    <xf numFmtId="164" fontId="0" fillId="0" borderId="0" xfId="2" applyFont="1"/>
    <xf numFmtId="166" fontId="0" fillId="0" borderId="0" xfId="2" applyNumberFormat="1" applyFont="1"/>
    <xf numFmtId="166" fontId="0" fillId="5" borderId="0" xfId="0" applyNumberFormat="1" applyFill="1"/>
    <xf numFmtId="166" fontId="0" fillId="5" borderId="0" xfId="2" applyNumberFormat="1" applyFont="1" applyFill="1"/>
    <xf numFmtId="164" fontId="0" fillId="5" borderId="0" xfId="0" applyNumberFormat="1" applyFill="1"/>
    <xf numFmtId="164" fontId="0" fillId="5" borderId="0" xfId="2" applyFont="1" applyFill="1"/>
    <xf numFmtId="166" fontId="0" fillId="6" borderId="0" xfId="0" applyNumberFormat="1" applyFill="1"/>
    <xf numFmtId="166" fontId="0" fillId="6" borderId="0" xfId="2" applyNumberFormat="1" applyFont="1" applyFill="1"/>
    <xf numFmtId="164" fontId="0" fillId="6" borderId="0" xfId="0" applyNumberFormat="1" applyFill="1"/>
    <xf numFmtId="164" fontId="0" fillId="6" borderId="0" xfId="2" applyFont="1" applyFill="1"/>
    <xf numFmtId="0" fontId="6" fillId="0" borderId="0" xfId="0" applyFont="1"/>
    <xf numFmtId="165" fontId="0" fillId="4" borderId="4" xfId="0" applyNumberFormat="1" applyFont="1" applyFill="1" applyBorder="1" applyAlignment="1" applyProtection="1">
      <alignment vertical="center"/>
      <protection locked="0"/>
    </xf>
    <xf numFmtId="9" fontId="4" fillId="4" borderId="4" xfId="1" applyNumberFormat="1" applyFont="1" applyFill="1" applyBorder="1" applyAlignment="1" applyProtection="1">
      <alignment vertical="center"/>
      <protection locked="0"/>
    </xf>
    <xf numFmtId="9" fontId="4" fillId="4" borderId="4" xfId="1" applyFont="1" applyFill="1" applyBorder="1" applyAlignment="1" applyProtection="1">
      <alignment vertical="center"/>
      <protection locked="0"/>
    </xf>
    <xf numFmtId="0" fontId="0" fillId="4" borderId="4" xfId="0" applyFill="1" applyBorder="1" applyProtection="1">
      <protection locked="0"/>
    </xf>
    <xf numFmtId="0" fontId="0" fillId="4" borderId="4" xfId="0" applyFont="1" applyFill="1" applyBorder="1" applyProtection="1"/>
    <xf numFmtId="0" fontId="14" fillId="0" borderId="0" xfId="0" applyFont="1" applyProtection="1"/>
    <xf numFmtId="0" fontId="14" fillId="0" borderId="0" xfId="0" applyFont="1"/>
    <xf numFmtId="0" fontId="8" fillId="0" borderId="0" xfId="0" applyFont="1" applyFill="1" applyAlignment="1" applyProtection="1">
      <alignment horizontal="left" vertical="center"/>
    </xf>
    <xf numFmtId="0" fontId="9" fillId="0" borderId="0" xfId="0" applyFont="1" applyFill="1"/>
    <xf numFmtId="0" fontId="7" fillId="0" borderId="0" xfId="0" applyFont="1" applyFill="1" applyAlignment="1" applyProtection="1">
      <alignment horizontal="left" vertical="center"/>
    </xf>
    <xf numFmtId="0" fontId="16" fillId="0" borderId="0" xfId="0" applyFont="1" applyFill="1" applyAlignment="1" applyProtection="1">
      <alignment vertical="center"/>
    </xf>
    <xf numFmtId="0" fontId="16" fillId="0" borderId="0" xfId="0" applyFont="1" applyFill="1" applyAlignment="1" applyProtection="1">
      <alignment horizontal="left" vertical="center"/>
    </xf>
    <xf numFmtId="0" fontId="16" fillId="0" borderId="0" xfId="0" applyFont="1" applyFill="1"/>
    <xf numFmtId="168" fontId="17" fillId="4" borderId="4" xfId="2" applyNumberFormat="1" applyFont="1" applyFill="1" applyBorder="1" applyProtection="1">
      <protection locked="0"/>
    </xf>
    <xf numFmtId="0" fontId="9" fillId="0" borderId="0" xfId="0" applyFont="1"/>
    <xf numFmtId="0" fontId="2" fillId="3" borderId="0" xfId="0" applyFont="1" applyFill="1" applyBorder="1" applyAlignment="1" applyProtection="1">
      <alignment vertical="center"/>
    </xf>
    <xf numFmtId="0" fontId="2" fillId="3" borderId="0" xfId="0" applyFont="1" applyFill="1" applyBorder="1" applyProtection="1"/>
    <xf numFmtId="0" fontId="0" fillId="0" borderId="0" xfId="0" applyFont="1" applyFill="1" applyBorder="1" applyAlignment="1" applyProtection="1">
      <alignment horizontal="left" vertical="center"/>
    </xf>
    <xf numFmtId="0" fontId="2" fillId="3" borderId="0" xfId="0" applyFont="1" applyFill="1" applyBorder="1" applyAlignment="1" applyProtection="1">
      <alignment horizontal="center" vertical="center"/>
    </xf>
    <xf numFmtId="0" fontId="2" fillId="3" borderId="0" xfId="0" applyFont="1" applyFill="1" applyBorder="1" applyAlignment="1" applyProtection="1">
      <alignment horizontal="center"/>
    </xf>
    <xf numFmtId="0" fontId="0" fillId="4" borderId="7" xfId="0" applyFill="1" applyBorder="1" applyProtection="1">
      <protection locked="0"/>
    </xf>
    <xf numFmtId="0" fontId="2" fillId="3" borderId="11" xfId="0" applyFont="1" applyFill="1" applyBorder="1" applyAlignment="1" applyProtection="1">
      <alignment horizontal="center" vertical="center"/>
    </xf>
    <xf numFmtId="0" fontId="0" fillId="0" borderId="13" xfId="0" applyFont="1" applyBorder="1" applyAlignment="1" applyProtection="1">
      <alignment horizontal="center" vertical="center"/>
    </xf>
    <xf numFmtId="0" fontId="0" fillId="0" borderId="15" xfId="0" applyFont="1" applyBorder="1" applyAlignment="1" applyProtection="1">
      <alignment horizontal="center" vertical="center"/>
    </xf>
    <xf numFmtId="165" fontId="0" fillId="4" borderId="17" xfId="0" applyNumberFormat="1" applyFont="1" applyFill="1" applyBorder="1" applyAlignment="1" applyProtection="1">
      <alignment vertical="center"/>
      <protection locked="0"/>
    </xf>
    <xf numFmtId="9" fontId="4" fillId="4" borderId="17" xfId="1" applyNumberFormat="1" applyFont="1" applyFill="1" applyBorder="1" applyAlignment="1" applyProtection="1">
      <alignment vertical="center"/>
      <protection locked="0"/>
    </xf>
    <xf numFmtId="9" fontId="4" fillId="4" borderId="17" xfId="1" applyFont="1" applyFill="1" applyBorder="1" applyAlignment="1" applyProtection="1">
      <alignment vertical="center"/>
      <protection locked="0"/>
    </xf>
    <xf numFmtId="0" fontId="2" fillId="3" borderId="11" xfId="0" applyFont="1" applyFill="1" applyBorder="1" applyAlignment="1" applyProtection="1">
      <alignment horizontal="center"/>
    </xf>
    <xf numFmtId="0" fontId="0" fillId="0" borderId="13" xfId="0" applyFont="1" applyBorder="1" applyAlignment="1" applyProtection="1">
      <alignment horizontal="center"/>
    </xf>
    <xf numFmtId="0" fontId="0" fillId="0" borderId="15" xfId="0" applyFont="1" applyBorder="1" applyAlignment="1" applyProtection="1">
      <alignment horizontal="center"/>
    </xf>
    <xf numFmtId="0" fontId="0" fillId="4" borderId="17" xfId="0" applyFont="1" applyFill="1" applyBorder="1" applyProtection="1"/>
    <xf numFmtId="168" fontId="17" fillId="4" borderId="17" xfId="2" applyNumberFormat="1" applyFont="1" applyFill="1" applyBorder="1" applyProtection="1">
      <protection locked="0"/>
    </xf>
    <xf numFmtId="0" fontId="3" fillId="0" borderId="11" xfId="0" applyFont="1" applyFill="1" applyBorder="1" applyAlignment="1" applyProtection="1">
      <alignment horizontal="center"/>
    </xf>
    <xf numFmtId="0" fontId="2" fillId="3" borderId="19" xfId="0" applyFont="1" applyFill="1" applyBorder="1" applyAlignment="1" applyProtection="1">
      <alignment horizontal="center"/>
    </xf>
    <xf numFmtId="0" fontId="0" fillId="0" borderId="13" xfId="0" applyBorder="1" applyProtection="1"/>
    <xf numFmtId="0" fontId="0" fillId="3" borderId="11" xfId="0" applyFill="1" applyBorder="1" applyProtection="1"/>
    <xf numFmtId="0" fontId="0" fillId="0" borderId="21" xfId="0" applyBorder="1" applyProtection="1"/>
    <xf numFmtId="0" fontId="0" fillId="0" borderId="11" xfId="0" applyBorder="1" applyProtection="1"/>
    <xf numFmtId="0" fontId="10" fillId="2" borderId="23" xfId="0" applyFont="1" applyFill="1" applyBorder="1" applyAlignment="1" applyProtection="1">
      <alignment vertical="center"/>
    </xf>
    <xf numFmtId="0" fontId="0" fillId="0" borderId="32" xfId="0" applyBorder="1" applyProtection="1"/>
    <xf numFmtId="0" fontId="12" fillId="4" borderId="5" xfId="0" applyFont="1" applyFill="1" applyBorder="1"/>
    <xf numFmtId="0" fontId="12" fillId="4" borderId="16" xfId="0" applyFont="1" applyFill="1" applyBorder="1"/>
    <xf numFmtId="0" fontId="5" fillId="2" borderId="11" xfId="0" applyFont="1" applyFill="1" applyBorder="1" applyAlignment="1" applyProtection="1">
      <alignment horizontal="center" vertical="center" wrapText="1"/>
    </xf>
    <xf numFmtId="0" fontId="5" fillId="2" borderId="0" xfId="0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3" borderId="1" xfId="0" applyFont="1" applyFill="1" applyBorder="1" applyProtection="1"/>
    <xf numFmtId="0" fontId="0" fillId="4" borderId="4" xfId="0" applyFont="1" applyFill="1" applyBorder="1" applyProtection="1">
      <protection locked="0"/>
    </xf>
    <xf numFmtId="0" fontId="0" fillId="3" borderId="0" xfId="0" applyFont="1" applyFill="1" applyBorder="1" applyProtection="1"/>
    <xf numFmtId="0" fontId="0" fillId="0" borderId="0" xfId="0" applyFill="1"/>
    <xf numFmtId="0" fontId="0" fillId="0" borderId="15" xfId="0" applyFill="1" applyBorder="1" applyProtection="1"/>
    <xf numFmtId="0" fontId="0" fillId="0" borderId="17" xfId="0" applyFill="1" applyBorder="1" applyProtection="1">
      <protection locked="0"/>
    </xf>
    <xf numFmtId="0" fontId="0" fillId="0" borderId="0" xfId="0" applyFill="1" applyProtection="1"/>
    <xf numFmtId="164" fontId="4" fillId="4" borderId="4" xfId="2" applyFont="1" applyFill="1" applyBorder="1" applyProtection="1">
      <protection locked="0"/>
    </xf>
    <xf numFmtId="164" fontId="4" fillId="4" borderId="14" xfId="2" applyFont="1" applyFill="1" applyBorder="1" applyProtection="1">
      <protection locked="0"/>
    </xf>
    <xf numFmtId="167" fontId="10" fillId="2" borderId="27" xfId="0" applyNumberFormat="1" applyFont="1" applyFill="1" applyBorder="1" applyAlignment="1" applyProtection="1">
      <alignment horizontal="center"/>
    </xf>
    <xf numFmtId="167" fontId="10" fillId="2" borderId="28" xfId="0" applyNumberFormat="1" applyFont="1" applyFill="1" applyBorder="1" applyAlignment="1" applyProtection="1">
      <alignment horizontal="center"/>
    </xf>
    <xf numFmtId="0" fontId="11" fillId="2" borderId="26" xfId="0" applyFont="1" applyFill="1" applyBorder="1" applyAlignment="1" applyProtection="1">
      <alignment horizontal="right" vertical="center"/>
    </xf>
    <xf numFmtId="0" fontId="11" fillId="2" borderId="27" xfId="0" applyFont="1" applyFill="1" applyBorder="1" applyAlignment="1" applyProtection="1">
      <alignment horizontal="right" vertical="center"/>
    </xf>
    <xf numFmtId="0" fontId="11" fillId="2" borderId="28" xfId="0" applyFont="1" applyFill="1" applyBorder="1" applyAlignment="1" applyProtection="1">
      <alignment horizontal="right" vertical="center"/>
    </xf>
    <xf numFmtId="167" fontId="10" fillId="2" borderId="24" xfId="0" applyNumberFormat="1" applyFont="1" applyFill="1" applyBorder="1" applyAlignment="1" applyProtection="1">
      <alignment horizontal="center"/>
    </xf>
    <xf numFmtId="167" fontId="10" fillId="2" borderId="25" xfId="0" applyNumberFormat="1" applyFont="1" applyFill="1" applyBorder="1" applyAlignment="1" applyProtection="1">
      <alignment horizontal="center"/>
    </xf>
    <xf numFmtId="0" fontId="11" fillId="2" borderId="24" xfId="0" applyFont="1" applyFill="1" applyBorder="1" applyAlignment="1" applyProtection="1">
      <alignment horizontal="left" vertical="center"/>
    </xf>
    <xf numFmtId="164" fontId="0" fillId="3" borderId="0" xfId="2" applyFont="1" applyFill="1" applyBorder="1" applyAlignment="1" applyProtection="1">
      <alignment horizontal="center"/>
    </xf>
    <xf numFmtId="164" fontId="0" fillId="3" borderId="12" xfId="2" applyFont="1" applyFill="1" applyBorder="1" applyAlignment="1" applyProtection="1">
      <alignment horizontal="center"/>
    </xf>
    <xf numFmtId="169" fontId="0" fillId="0" borderId="3" xfId="0" applyNumberFormat="1" applyFont="1" applyFill="1" applyBorder="1" applyAlignment="1" applyProtection="1">
      <alignment horizontal="center"/>
    </xf>
    <xf numFmtId="169" fontId="0" fillId="0" borderId="22" xfId="0" applyNumberFormat="1" applyFont="1" applyFill="1" applyBorder="1" applyAlignment="1" applyProtection="1">
      <alignment horizontal="center"/>
    </xf>
    <xf numFmtId="9" fontId="4" fillId="4" borderId="0" xfId="1" applyFont="1" applyFill="1" applyBorder="1" applyAlignment="1" applyProtection="1">
      <alignment horizontal="right"/>
      <protection locked="0"/>
    </xf>
    <xf numFmtId="9" fontId="4" fillId="4" borderId="12" xfId="1" applyFont="1" applyFill="1" applyBorder="1" applyAlignment="1" applyProtection="1">
      <alignment horizontal="right"/>
      <protection locked="0"/>
    </xf>
    <xf numFmtId="167" fontId="15" fillId="2" borderId="0" xfId="0" applyNumberFormat="1" applyFont="1" applyFill="1" applyBorder="1" applyAlignment="1" applyProtection="1">
      <alignment horizontal="center"/>
    </xf>
    <xf numFmtId="0" fontId="13" fillId="2" borderId="29" xfId="0" applyFont="1" applyFill="1" applyBorder="1" applyAlignment="1" applyProtection="1">
      <alignment horizontal="center"/>
    </xf>
    <xf numFmtId="0" fontId="13" fillId="2" borderId="6" xfId="0" applyFont="1" applyFill="1" applyBorder="1" applyAlignment="1" applyProtection="1">
      <alignment horizontal="center"/>
    </xf>
    <xf numFmtId="0" fontId="13" fillId="2" borderId="30" xfId="0" applyFont="1" applyFill="1" applyBorder="1" applyAlignment="1" applyProtection="1">
      <alignment horizontal="center"/>
    </xf>
    <xf numFmtId="165" fontId="0" fillId="4" borderId="7" xfId="0" applyNumberFormat="1" applyFill="1" applyBorder="1" applyAlignment="1" applyProtection="1">
      <alignment horizontal="center"/>
      <protection locked="0"/>
    </xf>
    <xf numFmtId="165" fontId="0" fillId="4" borderId="4" xfId="0" applyNumberFormat="1" applyFill="1" applyBorder="1" applyAlignment="1" applyProtection="1">
      <alignment horizontal="center"/>
      <protection locked="0"/>
    </xf>
    <xf numFmtId="167" fontId="0" fillId="0" borderId="7" xfId="0" applyNumberFormat="1" applyBorder="1" applyProtection="1"/>
    <xf numFmtId="167" fontId="0" fillId="0" borderId="33" xfId="0" applyNumberFormat="1" applyBorder="1" applyProtection="1"/>
    <xf numFmtId="167" fontId="0" fillId="0" borderId="4" xfId="0" applyNumberFormat="1" applyBorder="1" applyProtection="1"/>
    <xf numFmtId="167" fontId="0" fillId="0" borderId="14" xfId="0" applyNumberFormat="1" applyBorder="1" applyProtection="1"/>
    <xf numFmtId="0" fontId="2" fillId="3" borderId="2" xfId="0" applyFont="1" applyFill="1" applyBorder="1" applyAlignment="1" applyProtection="1">
      <alignment horizontal="center" vertical="center"/>
    </xf>
    <xf numFmtId="9" fontId="4" fillId="4" borderId="7" xfId="1" applyFont="1" applyFill="1" applyBorder="1" applyAlignment="1" applyProtection="1">
      <alignment horizontal="center"/>
      <protection locked="0"/>
    </xf>
    <xf numFmtId="9" fontId="4" fillId="4" borderId="4" xfId="1" applyFont="1" applyFill="1" applyBorder="1" applyAlignment="1" applyProtection="1">
      <alignment horizontal="center"/>
      <protection locked="0"/>
    </xf>
    <xf numFmtId="0" fontId="2" fillId="3" borderId="2" xfId="0" applyFont="1" applyFill="1" applyBorder="1" applyAlignment="1" applyProtection="1">
      <alignment horizontal="right" vertical="center"/>
    </xf>
    <xf numFmtId="0" fontId="2" fillId="3" borderId="31" xfId="0" applyFont="1" applyFill="1" applyBorder="1" applyAlignment="1" applyProtection="1">
      <alignment horizontal="right" vertical="center"/>
    </xf>
    <xf numFmtId="9" fontId="4" fillId="0" borderId="17" xfId="1" applyFont="1" applyFill="1" applyBorder="1" applyAlignment="1" applyProtection="1">
      <alignment horizontal="center"/>
      <protection locked="0"/>
    </xf>
    <xf numFmtId="165" fontId="0" fillId="0" borderId="17" xfId="0" applyNumberFormat="1" applyFill="1" applyBorder="1" applyAlignment="1" applyProtection="1">
      <alignment horizontal="center"/>
      <protection locked="0"/>
    </xf>
    <xf numFmtId="169" fontId="0" fillId="0" borderId="0" xfId="0" applyNumberFormat="1" applyFont="1" applyFill="1" applyBorder="1" applyAlignment="1" applyProtection="1">
      <alignment horizontal="center"/>
    </xf>
    <xf numFmtId="169" fontId="0" fillId="0" borderId="12" xfId="0" applyNumberFormat="1" applyFont="1" applyFill="1" applyBorder="1" applyAlignment="1" applyProtection="1">
      <alignment horizontal="center"/>
    </xf>
    <xf numFmtId="0" fontId="0" fillId="3" borderId="1" xfId="0" applyFont="1" applyFill="1" applyBorder="1" applyAlignment="1" applyProtection="1">
      <alignment horizontal="center"/>
    </xf>
    <xf numFmtId="0" fontId="0" fillId="3" borderId="20" xfId="0" applyFont="1" applyFill="1" applyBorder="1" applyAlignment="1" applyProtection="1">
      <alignment horizontal="center"/>
    </xf>
    <xf numFmtId="0" fontId="5" fillId="2" borderId="8" xfId="0" applyFont="1" applyFill="1" applyBorder="1" applyAlignment="1" applyProtection="1">
      <alignment horizontal="center" vertical="center"/>
    </xf>
    <xf numFmtId="0" fontId="5" fillId="2" borderId="9" xfId="0" applyFont="1" applyFill="1" applyBorder="1" applyAlignment="1" applyProtection="1">
      <alignment horizontal="center" vertical="center"/>
    </xf>
    <xf numFmtId="0" fontId="5" fillId="2" borderId="10" xfId="0" applyFont="1" applyFill="1" applyBorder="1" applyAlignment="1" applyProtection="1">
      <alignment horizontal="center" vertical="center"/>
    </xf>
    <xf numFmtId="0" fontId="5" fillId="2" borderId="8" xfId="0" applyFont="1" applyFill="1" applyBorder="1" applyAlignment="1" applyProtection="1">
      <alignment horizontal="center"/>
    </xf>
    <xf numFmtId="0" fontId="5" fillId="2" borderId="9" xfId="0" applyFont="1" applyFill="1" applyBorder="1" applyAlignment="1" applyProtection="1">
      <alignment horizontal="center"/>
    </xf>
    <xf numFmtId="0" fontId="5" fillId="2" borderId="10" xfId="0" applyFont="1" applyFill="1" applyBorder="1" applyAlignment="1" applyProtection="1">
      <alignment horizontal="center"/>
    </xf>
    <xf numFmtId="0" fontId="2" fillId="3" borderId="0" xfId="0" applyFont="1" applyFill="1" applyBorder="1" applyAlignment="1" applyProtection="1">
      <alignment horizontal="center" vertical="center"/>
    </xf>
    <xf numFmtId="0" fontId="2" fillId="3" borderId="12" xfId="0" applyFont="1" applyFill="1" applyBorder="1" applyAlignment="1" applyProtection="1">
      <alignment horizontal="center" vertical="center"/>
    </xf>
    <xf numFmtId="165" fontId="0" fillId="0" borderId="4" xfId="0" applyNumberFormat="1" applyFont="1" applyBorder="1" applyAlignment="1" applyProtection="1">
      <alignment horizontal="right" vertical="center" indent="1"/>
    </xf>
    <xf numFmtId="165" fontId="0" fillId="0" borderId="14" xfId="0" applyNumberFormat="1" applyFont="1" applyBorder="1" applyAlignment="1" applyProtection="1">
      <alignment horizontal="right" vertical="center" indent="1"/>
    </xf>
    <xf numFmtId="0" fontId="2" fillId="3" borderId="0" xfId="0" applyFont="1" applyFill="1" applyBorder="1" applyAlignment="1" applyProtection="1">
      <alignment horizontal="center"/>
    </xf>
    <xf numFmtId="0" fontId="2" fillId="3" borderId="12" xfId="0" applyFont="1" applyFill="1" applyBorder="1" applyAlignment="1" applyProtection="1">
      <alignment horizontal="center"/>
    </xf>
    <xf numFmtId="167" fontId="0" fillId="0" borderId="4" xfId="2" applyNumberFormat="1" applyFont="1" applyBorder="1" applyAlignment="1" applyProtection="1">
      <alignment horizontal="right" indent="2"/>
    </xf>
    <xf numFmtId="167" fontId="0" fillId="0" borderId="14" xfId="2" applyNumberFormat="1" applyFont="1" applyBorder="1" applyAlignment="1" applyProtection="1">
      <alignment horizontal="right" indent="2"/>
    </xf>
    <xf numFmtId="168" fontId="0" fillId="4" borderId="4" xfId="2" applyNumberFormat="1" applyFont="1" applyFill="1" applyBorder="1" applyProtection="1">
      <protection locked="0"/>
    </xf>
    <xf numFmtId="168" fontId="0" fillId="0" borderId="4" xfId="2" applyNumberFormat="1" applyFont="1" applyBorder="1" applyProtection="1"/>
    <xf numFmtId="165" fontId="0" fillId="0" borderId="4" xfId="0" applyNumberFormat="1" applyFont="1" applyBorder="1" applyProtection="1"/>
    <xf numFmtId="167" fontId="0" fillId="0" borderId="17" xfId="2" applyNumberFormat="1" applyFont="1" applyBorder="1" applyAlignment="1" applyProtection="1">
      <alignment horizontal="right" indent="2"/>
    </xf>
    <xf numFmtId="167" fontId="0" fillId="0" borderId="18" xfId="2" applyNumberFormat="1" applyFont="1" applyBorder="1" applyAlignment="1" applyProtection="1">
      <alignment horizontal="right" indent="2"/>
    </xf>
    <xf numFmtId="0" fontId="18" fillId="2" borderId="0" xfId="0" applyFont="1" applyFill="1" applyBorder="1" applyAlignment="1" applyProtection="1">
      <alignment horizontal="center" vertical="center" wrapText="1"/>
    </xf>
    <xf numFmtId="0" fontId="18" fillId="2" borderId="12" xfId="0" applyFont="1" applyFill="1" applyBorder="1" applyAlignment="1" applyProtection="1">
      <alignment horizontal="center" vertical="center" wrapText="1"/>
    </xf>
    <xf numFmtId="168" fontId="0" fillId="4" borderId="17" xfId="2" applyNumberFormat="1" applyFont="1" applyFill="1" applyBorder="1" applyProtection="1">
      <protection locked="0"/>
    </xf>
    <xf numFmtId="168" fontId="0" fillId="0" borderId="17" xfId="2" applyNumberFormat="1" applyFont="1" applyBorder="1" applyProtection="1"/>
    <xf numFmtId="165" fontId="0" fillId="0" borderId="17" xfId="0" applyNumberFormat="1" applyFont="1" applyBorder="1" applyProtection="1"/>
    <xf numFmtId="165" fontId="0" fillId="0" borderId="17" xfId="0" applyNumberFormat="1" applyFont="1" applyBorder="1" applyAlignment="1" applyProtection="1">
      <alignment horizontal="right" vertical="center" indent="1"/>
    </xf>
    <xf numFmtId="165" fontId="0" fillId="0" borderId="18" xfId="0" applyNumberFormat="1" applyFont="1" applyBorder="1" applyAlignment="1" applyProtection="1">
      <alignment horizontal="right" vertical="center" indent="1"/>
    </xf>
    <xf numFmtId="164" fontId="0" fillId="5" borderId="0" xfId="0" applyNumberFormat="1" applyFill="1" applyAlignment="1">
      <alignment vertical="center"/>
    </xf>
    <xf numFmtId="164" fontId="0" fillId="0" borderId="0" xfId="0" applyNumberFormat="1" applyFill="1" applyAlignment="1">
      <alignment vertical="center"/>
    </xf>
    <xf numFmtId="164" fontId="0" fillId="6" borderId="0" xfId="0" applyNumberFormat="1" applyFill="1" applyAlignment="1">
      <alignment vertical="center"/>
    </xf>
    <xf numFmtId="164" fontId="0" fillId="0" borderId="0" xfId="0" applyNumberFormat="1" applyFill="1" applyAlignment="1">
      <alignment horizontal="center" vertical="center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2"/>
  <sheetViews>
    <sheetView showGridLines="0" tabSelected="1" zoomScale="85" zoomScaleNormal="85" workbookViewId="0">
      <selection activeCell="L38" sqref="L38"/>
    </sheetView>
  </sheetViews>
  <sheetFormatPr baseColWidth="10" defaultRowHeight="15" x14ac:dyDescent="0.25"/>
  <cols>
    <col min="1" max="1" width="1.140625" style="1" customWidth="1"/>
    <col min="2" max="2" width="4.7109375" customWidth="1"/>
    <col min="3" max="3" width="40.7109375" customWidth="1"/>
    <col min="4" max="4" width="10.7109375" customWidth="1"/>
    <col min="5" max="5" width="6.7109375" customWidth="1"/>
    <col min="6" max="6" width="10.7109375" customWidth="1"/>
    <col min="7" max="7" width="7.42578125" customWidth="1"/>
    <col min="8" max="8" width="10.7109375" customWidth="1"/>
    <col min="9" max="9" width="6.5703125" customWidth="1"/>
    <col min="10" max="10" width="10.7109375" customWidth="1"/>
    <col min="11" max="11" width="5.7109375" customWidth="1"/>
    <col min="12" max="12" width="10.7109375" customWidth="1"/>
    <col min="13" max="13" width="3.5703125" customWidth="1"/>
    <col min="14" max="14" width="5.5703125" bestFit="1" customWidth="1"/>
    <col min="15" max="15" width="8.42578125" customWidth="1"/>
    <col min="16" max="16" width="3.42578125" bestFit="1" customWidth="1"/>
  </cols>
  <sheetData>
    <row r="1" spans="2:13" s="1" customFormat="1" ht="15.75" thickBot="1" x14ac:dyDescent="0.3"/>
    <row r="2" spans="2:13" s="19" customFormat="1" ht="21" x14ac:dyDescent="0.25">
      <c r="B2" s="109" t="s">
        <v>11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3" x14ac:dyDescent="0.25">
      <c r="B3" s="41" t="s">
        <v>1</v>
      </c>
      <c r="C3" s="35" t="s">
        <v>0</v>
      </c>
      <c r="D3" s="38" t="s">
        <v>4</v>
      </c>
      <c r="E3" s="38"/>
      <c r="F3" s="38" t="s">
        <v>8</v>
      </c>
      <c r="G3" s="38"/>
      <c r="H3" s="38" t="s">
        <v>9</v>
      </c>
      <c r="I3" s="38"/>
      <c r="J3" s="38" t="s">
        <v>10</v>
      </c>
      <c r="K3" s="38"/>
      <c r="L3" s="115" t="s">
        <v>5</v>
      </c>
      <c r="M3" s="116"/>
    </row>
    <row r="4" spans="2:13" ht="20.100000000000001" customHeight="1" x14ac:dyDescent="0.25">
      <c r="B4" s="42">
        <v>1</v>
      </c>
      <c r="C4" s="60"/>
      <c r="D4" s="20"/>
      <c r="E4" s="21">
        <v>1</v>
      </c>
      <c r="F4" s="20"/>
      <c r="G4" s="22">
        <v>0.5</v>
      </c>
      <c r="H4" s="20"/>
      <c r="I4" s="22">
        <v>0.33</v>
      </c>
      <c r="J4" s="20"/>
      <c r="K4" s="22">
        <v>0.2</v>
      </c>
      <c r="L4" s="117">
        <f>D4*E4+F4*G4+H4*I4+J4*K4</f>
        <v>0</v>
      </c>
      <c r="M4" s="118"/>
    </row>
    <row r="5" spans="2:13" s="1" customFormat="1" ht="20.100000000000001" customHeight="1" x14ac:dyDescent="0.25">
      <c r="B5" s="42">
        <v>2</v>
      </c>
      <c r="C5" s="60"/>
      <c r="D5" s="20"/>
      <c r="E5" s="21">
        <v>1</v>
      </c>
      <c r="F5" s="20"/>
      <c r="G5" s="22">
        <v>0.5</v>
      </c>
      <c r="H5" s="20"/>
      <c r="I5" s="22">
        <v>0.33</v>
      </c>
      <c r="J5" s="20"/>
      <c r="K5" s="22">
        <v>0.2</v>
      </c>
      <c r="L5" s="117">
        <f t="shared" ref="L5:L6" si="0">D5*E5+F5*G5+H5*I5+J5*K5</f>
        <v>0</v>
      </c>
      <c r="M5" s="118"/>
    </row>
    <row r="6" spans="2:13" s="1" customFormat="1" ht="20.100000000000001" customHeight="1" thickBot="1" x14ac:dyDescent="0.3">
      <c r="B6" s="43">
        <v>3</v>
      </c>
      <c r="C6" s="61"/>
      <c r="D6" s="44"/>
      <c r="E6" s="45">
        <v>1</v>
      </c>
      <c r="F6" s="44"/>
      <c r="G6" s="46">
        <v>0.5</v>
      </c>
      <c r="H6" s="44"/>
      <c r="I6" s="46">
        <v>0.33</v>
      </c>
      <c r="J6" s="44"/>
      <c r="K6" s="46">
        <v>0.2</v>
      </c>
      <c r="L6" s="133">
        <f t="shared" si="0"/>
        <v>0</v>
      </c>
      <c r="M6" s="134"/>
    </row>
    <row r="7" spans="2:13" ht="15.75" thickBot="1" x14ac:dyDescent="0.3">
      <c r="B7" s="2"/>
      <c r="C7" s="2"/>
      <c r="D7" s="2"/>
      <c r="E7" s="2"/>
      <c r="F7" s="2"/>
      <c r="G7" s="3"/>
      <c r="H7" s="2"/>
      <c r="I7" s="3"/>
      <c r="J7" s="2"/>
      <c r="K7" s="3"/>
      <c r="L7" s="2"/>
      <c r="M7" s="2"/>
    </row>
    <row r="8" spans="2:13" s="19" customFormat="1" ht="21" x14ac:dyDescent="0.35">
      <c r="B8" s="112" t="s">
        <v>7</v>
      </c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4"/>
    </row>
    <row r="9" spans="2:13" x14ac:dyDescent="0.25">
      <c r="B9" s="47" t="s">
        <v>1</v>
      </c>
      <c r="C9" s="36" t="s">
        <v>0</v>
      </c>
      <c r="D9" s="119" t="s">
        <v>2</v>
      </c>
      <c r="E9" s="119"/>
      <c r="F9" s="39" t="s">
        <v>28</v>
      </c>
      <c r="G9" s="119" t="s">
        <v>3</v>
      </c>
      <c r="H9" s="119"/>
      <c r="I9" s="119" t="s">
        <v>5</v>
      </c>
      <c r="J9" s="119"/>
      <c r="K9" s="119" t="s">
        <v>6</v>
      </c>
      <c r="L9" s="119"/>
      <c r="M9" s="120"/>
    </row>
    <row r="10" spans="2:13" ht="20.100000000000001" customHeight="1" x14ac:dyDescent="0.25">
      <c r="B10" s="48">
        <v>1</v>
      </c>
      <c r="C10" s="24">
        <f>C4</f>
        <v>0</v>
      </c>
      <c r="D10" s="123"/>
      <c r="E10" s="123"/>
      <c r="F10" s="33"/>
      <c r="G10" s="124">
        <f>D10-F10</f>
        <v>0</v>
      </c>
      <c r="H10" s="124"/>
      <c r="I10" s="125">
        <f>L4</f>
        <v>0</v>
      </c>
      <c r="J10" s="125"/>
      <c r="K10" s="121">
        <f>IFERROR(G10/I10,0)</f>
        <v>0</v>
      </c>
      <c r="L10" s="121"/>
      <c r="M10" s="122"/>
    </row>
    <row r="11" spans="2:13" s="1" customFormat="1" ht="20.100000000000001" customHeight="1" x14ac:dyDescent="0.25">
      <c r="B11" s="48">
        <v>2</v>
      </c>
      <c r="C11" s="24">
        <f>C5</f>
        <v>0</v>
      </c>
      <c r="D11" s="123"/>
      <c r="E11" s="123"/>
      <c r="F11" s="33"/>
      <c r="G11" s="124">
        <f t="shared" ref="G11:G12" si="1">D11-F11</f>
        <v>0</v>
      </c>
      <c r="H11" s="124"/>
      <c r="I11" s="125">
        <f>L5</f>
        <v>0</v>
      </c>
      <c r="J11" s="125"/>
      <c r="K11" s="121">
        <f t="shared" ref="K11:K12" si="2">IFERROR(G11/I11,0)</f>
        <v>0</v>
      </c>
      <c r="L11" s="121"/>
      <c r="M11" s="122"/>
    </row>
    <row r="12" spans="2:13" s="1" customFormat="1" ht="20.100000000000001" customHeight="1" thickBot="1" x14ac:dyDescent="0.3">
      <c r="B12" s="49">
        <v>3</v>
      </c>
      <c r="C12" s="50">
        <f>C6</f>
        <v>0</v>
      </c>
      <c r="D12" s="130"/>
      <c r="E12" s="130"/>
      <c r="F12" s="51"/>
      <c r="G12" s="131">
        <f t="shared" si="1"/>
        <v>0</v>
      </c>
      <c r="H12" s="131"/>
      <c r="I12" s="132">
        <f>L6</f>
        <v>0</v>
      </c>
      <c r="J12" s="132"/>
      <c r="K12" s="126">
        <f t="shared" si="2"/>
        <v>0</v>
      </c>
      <c r="L12" s="126"/>
      <c r="M12" s="127"/>
    </row>
    <row r="13" spans="2:13" ht="15.75" thickBo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2:13" s="19" customFormat="1" ht="21" x14ac:dyDescent="0.35">
      <c r="B14" s="112" t="s">
        <v>19</v>
      </c>
      <c r="C14" s="113"/>
      <c r="D14" s="113"/>
      <c r="E14" s="113"/>
      <c r="F14" s="113"/>
      <c r="G14" s="113"/>
      <c r="H14" s="113"/>
      <c r="I14" s="114"/>
    </row>
    <row r="15" spans="2:13" s="64" customFormat="1" ht="32.25" customHeight="1" x14ac:dyDescent="0.25">
      <c r="B15" s="62"/>
      <c r="C15" s="63"/>
      <c r="D15" s="128">
        <f>C10</f>
        <v>0</v>
      </c>
      <c r="E15" s="128"/>
      <c r="F15" s="128">
        <f>C11</f>
        <v>0</v>
      </c>
      <c r="G15" s="128"/>
      <c r="H15" s="128">
        <f>C12</f>
        <v>0</v>
      </c>
      <c r="I15" s="129"/>
    </row>
    <row r="16" spans="2:13" s="1" customFormat="1" ht="21.75" thickBot="1" x14ac:dyDescent="0.4">
      <c r="B16" s="52"/>
      <c r="C16" s="37" t="s">
        <v>18</v>
      </c>
      <c r="D16" s="105">
        <f>K10</f>
        <v>0</v>
      </c>
      <c r="E16" s="105"/>
      <c r="F16" s="105">
        <f>K11</f>
        <v>0</v>
      </c>
      <c r="G16" s="105"/>
      <c r="H16" s="105">
        <f>K12</f>
        <v>0</v>
      </c>
      <c r="I16" s="106"/>
    </row>
    <row r="17" spans="2:10" x14ac:dyDescent="0.25">
      <c r="B17" s="53"/>
      <c r="C17" s="65" t="s">
        <v>16</v>
      </c>
      <c r="D17" s="107"/>
      <c r="E17" s="107"/>
      <c r="F17" s="107"/>
      <c r="G17" s="107"/>
      <c r="H17" s="107"/>
      <c r="I17" s="108"/>
    </row>
    <row r="18" spans="2:10" ht="20.100000000000001" customHeight="1" x14ac:dyDescent="0.25">
      <c r="B18" s="54"/>
      <c r="C18" s="66" t="s">
        <v>15</v>
      </c>
      <c r="D18" s="72">
        <v>1</v>
      </c>
      <c r="E18" s="72"/>
      <c r="F18" s="72">
        <v>1</v>
      </c>
      <c r="G18" s="72"/>
      <c r="H18" s="72">
        <v>1</v>
      </c>
      <c r="I18" s="73"/>
      <c r="J18" s="9"/>
    </row>
    <row r="19" spans="2:10" ht="20.100000000000001" customHeight="1" x14ac:dyDescent="0.25">
      <c r="B19" s="54"/>
      <c r="C19" s="66" t="s">
        <v>12</v>
      </c>
      <c r="D19" s="72">
        <v>1</v>
      </c>
      <c r="E19" s="72"/>
      <c r="F19" s="72">
        <v>1</v>
      </c>
      <c r="G19" s="72"/>
      <c r="H19" s="72">
        <v>1</v>
      </c>
      <c r="I19" s="73"/>
      <c r="J19" s="9"/>
    </row>
    <row r="20" spans="2:10" ht="20.100000000000001" customHeight="1" x14ac:dyDescent="0.25">
      <c r="B20" s="54"/>
      <c r="C20" s="66" t="s">
        <v>13</v>
      </c>
      <c r="D20" s="72">
        <v>1</v>
      </c>
      <c r="E20" s="72"/>
      <c r="F20" s="72">
        <v>1</v>
      </c>
      <c r="G20" s="72"/>
      <c r="H20" s="72">
        <v>1</v>
      </c>
      <c r="I20" s="73"/>
      <c r="J20" s="9"/>
    </row>
    <row r="21" spans="2:10" s="1" customFormat="1" ht="20.100000000000001" customHeight="1" x14ac:dyDescent="0.25">
      <c r="B21" s="54"/>
      <c r="C21" s="66" t="s">
        <v>14</v>
      </c>
      <c r="D21" s="72">
        <v>1</v>
      </c>
      <c r="E21" s="72"/>
      <c r="F21" s="72">
        <v>1</v>
      </c>
      <c r="G21" s="72"/>
      <c r="H21" s="72">
        <v>1</v>
      </c>
      <c r="I21" s="73"/>
      <c r="J21" s="9"/>
    </row>
    <row r="22" spans="2:10" s="1" customFormat="1" ht="20.100000000000001" customHeight="1" x14ac:dyDescent="0.25">
      <c r="B22" s="54"/>
      <c r="C22" s="66" t="s">
        <v>31</v>
      </c>
      <c r="D22" s="72">
        <v>1</v>
      </c>
      <c r="E22" s="72"/>
      <c r="F22" s="72">
        <v>1</v>
      </c>
      <c r="G22" s="72"/>
      <c r="H22" s="72">
        <v>1</v>
      </c>
      <c r="I22" s="73"/>
      <c r="J22" s="9"/>
    </row>
    <row r="23" spans="2:10" ht="20.100000000000001" customHeight="1" x14ac:dyDescent="0.25">
      <c r="B23" s="54"/>
      <c r="C23" s="66" t="s">
        <v>32</v>
      </c>
      <c r="D23" s="72">
        <v>1</v>
      </c>
      <c r="E23" s="72"/>
      <c r="F23" s="72">
        <v>1</v>
      </c>
      <c r="G23" s="72"/>
      <c r="H23" s="72">
        <v>1</v>
      </c>
      <c r="I23" s="73"/>
      <c r="J23" s="9"/>
    </row>
    <row r="24" spans="2:10" s="1" customFormat="1" ht="20.100000000000001" customHeight="1" x14ac:dyDescent="0.25">
      <c r="B24" s="54"/>
      <c r="C24" s="66" t="s">
        <v>30</v>
      </c>
      <c r="D24" s="72">
        <v>1</v>
      </c>
      <c r="E24" s="72"/>
      <c r="F24" s="72">
        <v>1</v>
      </c>
      <c r="G24" s="72"/>
      <c r="H24" s="72">
        <v>1</v>
      </c>
      <c r="I24" s="73"/>
      <c r="J24" s="9"/>
    </row>
    <row r="25" spans="2:10" ht="20.100000000000001" customHeight="1" x14ac:dyDescent="0.25">
      <c r="B25" s="54"/>
      <c r="C25" s="66" t="s">
        <v>33</v>
      </c>
      <c r="D25" s="72">
        <v>1</v>
      </c>
      <c r="E25" s="72"/>
      <c r="F25" s="72">
        <v>1</v>
      </c>
      <c r="G25" s="72"/>
      <c r="H25" s="72">
        <v>1</v>
      </c>
      <c r="I25" s="73"/>
    </row>
    <row r="26" spans="2:10" ht="20.100000000000001" customHeight="1" thickBot="1" x14ac:dyDescent="0.3">
      <c r="B26" s="55"/>
      <c r="C26" s="67"/>
      <c r="D26" s="82">
        <f>D18*D19*D20*D21*D22*D23*D24*D25</f>
        <v>1</v>
      </c>
      <c r="E26" s="82"/>
      <c r="F26" s="82">
        <f>F18*F19*F20*F21*F22*F23*F24*F25</f>
        <v>1</v>
      </c>
      <c r="G26" s="82"/>
      <c r="H26" s="82">
        <f>H18*H19*H20*H21*H22*H23*H24*H25</f>
        <v>1</v>
      </c>
      <c r="I26" s="83"/>
    </row>
    <row r="27" spans="2:10" ht="20.100000000000001" customHeight="1" thickBot="1" x14ac:dyDescent="0.3">
      <c r="B27" s="56"/>
      <c r="C27" s="5" t="s">
        <v>26</v>
      </c>
      <c r="D27" s="84">
        <f>D16*D26</f>
        <v>0</v>
      </c>
      <c r="E27" s="84"/>
      <c r="F27" s="84">
        <f>F16*F26</f>
        <v>0</v>
      </c>
      <c r="G27" s="84"/>
      <c r="H27" s="84">
        <f>H16*H26</f>
        <v>0</v>
      </c>
      <c r="I27" s="85"/>
    </row>
    <row r="28" spans="2:10" ht="15" customHeight="1" x14ac:dyDescent="0.25">
      <c r="B28" s="57"/>
      <c r="C28" s="4" t="s">
        <v>27</v>
      </c>
      <c r="D28" s="86">
        <v>0.33</v>
      </c>
      <c r="E28" s="86"/>
      <c r="F28" s="86">
        <v>0.33</v>
      </c>
      <c r="G28" s="86"/>
      <c r="H28" s="86">
        <v>0.33</v>
      </c>
      <c r="I28" s="87"/>
    </row>
    <row r="29" spans="2:10" s="19" customFormat="1" ht="20.100000000000001" customHeight="1" thickBot="1" x14ac:dyDescent="0.35">
      <c r="B29" s="58"/>
      <c r="C29" s="81" t="s">
        <v>29</v>
      </c>
      <c r="D29" s="81"/>
      <c r="E29" s="81"/>
      <c r="F29" s="81"/>
      <c r="G29" s="81"/>
      <c r="H29" s="79">
        <f>D27*D28+F27*F28+H27*H28</f>
        <v>0</v>
      </c>
      <c r="I29" s="80"/>
      <c r="J29" s="34"/>
    </row>
    <row r="30" spans="2:10" s="32" customFormat="1" ht="20.100000000000001" customHeight="1" x14ac:dyDescent="0.25">
      <c r="B30" s="30"/>
      <c r="C30" s="31"/>
      <c r="D30" s="31"/>
      <c r="E30" s="31"/>
      <c r="F30" s="31"/>
      <c r="G30" s="31"/>
    </row>
    <row r="31" spans="2:10" s="28" customFormat="1" ht="20.100000000000001" customHeight="1" thickBot="1" x14ac:dyDescent="0.3">
      <c r="B31" s="29" t="s">
        <v>35</v>
      </c>
      <c r="D31" s="27"/>
      <c r="E31" s="27"/>
      <c r="F31" s="27"/>
      <c r="G31" s="27"/>
    </row>
    <row r="32" spans="2:10" s="28" customFormat="1" ht="20.100000000000001" customHeight="1" thickBot="1" x14ac:dyDescent="0.35">
      <c r="B32" s="76" t="s">
        <v>29</v>
      </c>
      <c r="C32" s="77"/>
      <c r="D32" s="77"/>
      <c r="E32" s="77"/>
      <c r="F32" s="77"/>
      <c r="G32" s="78"/>
      <c r="H32" s="74">
        <f>H29</f>
        <v>0</v>
      </c>
      <c r="I32" s="75"/>
    </row>
    <row r="33" spans="2:13" s="26" customFormat="1" ht="20.100000000000001" customHeight="1" x14ac:dyDescent="0.35">
      <c r="B33" s="89" t="s">
        <v>17</v>
      </c>
      <c r="C33" s="90"/>
      <c r="D33" s="90"/>
      <c r="E33" s="90"/>
      <c r="F33" s="90"/>
      <c r="G33" s="90"/>
      <c r="H33" s="90"/>
      <c r="I33" s="91"/>
      <c r="J33" s="25"/>
      <c r="K33" s="25"/>
      <c r="L33" s="25"/>
      <c r="M33" s="25"/>
    </row>
    <row r="34" spans="2:13" ht="15.75" thickBot="1" x14ac:dyDescent="0.3">
      <c r="B34" s="41"/>
      <c r="C34" s="35" t="s">
        <v>20</v>
      </c>
      <c r="D34" s="98" t="s">
        <v>4</v>
      </c>
      <c r="E34" s="98"/>
      <c r="F34" s="98" t="s">
        <v>24</v>
      </c>
      <c r="G34" s="98"/>
      <c r="H34" s="101" t="s">
        <v>25</v>
      </c>
      <c r="I34" s="102"/>
      <c r="J34" s="2"/>
      <c r="K34" s="2"/>
      <c r="L34" s="2"/>
      <c r="M34" s="2"/>
    </row>
    <row r="35" spans="2:13" ht="20.100000000000001" customHeight="1" x14ac:dyDescent="0.25">
      <c r="B35" s="59"/>
      <c r="C35" s="40" t="s">
        <v>21</v>
      </c>
      <c r="D35" s="92"/>
      <c r="E35" s="92"/>
      <c r="F35" s="99">
        <v>1</v>
      </c>
      <c r="G35" s="99"/>
      <c r="H35" s="94">
        <f>$H$29*D35*F35</f>
        <v>0</v>
      </c>
      <c r="I35" s="95"/>
      <c r="J35" s="2"/>
      <c r="K35" s="2"/>
      <c r="L35" s="2"/>
      <c r="M35" s="2"/>
    </row>
    <row r="36" spans="2:13" ht="20.100000000000001" customHeight="1" x14ac:dyDescent="0.25">
      <c r="B36" s="54"/>
      <c r="C36" s="23" t="s">
        <v>22</v>
      </c>
      <c r="D36" s="93"/>
      <c r="E36" s="93"/>
      <c r="F36" s="100">
        <v>0.5</v>
      </c>
      <c r="G36" s="100"/>
      <c r="H36" s="96">
        <f>$H$29*D36*F36</f>
        <v>0</v>
      </c>
      <c r="I36" s="97"/>
      <c r="J36" s="2"/>
      <c r="K36" s="2"/>
      <c r="L36" s="2"/>
      <c r="M36" s="2"/>
    </row>
    <row r="37" spans="2:13" s="1" customFormat="1" ht="20.100000000000001" customHeight="1" x14ac:dyDescent="0.25">
      <c r="B37" s="54"/>
      <c r="C37" s="23" t="s">
        <v>23</v>
      </c>
      <c r="D37" s="93"/>
      <c r="E37" s="93"/>
      <c r="F37" s="100">
        <v>0.33</v>
      </c>
      <c r="G37" s="100"/>
      <c r="H37" s="96">
        <f>$H$29*D37*F37</f>
        <v>0</v>
      </c>
      <c r="I37" s="97"/>
      <c r="J37" s="2"/>
      <c r="K37" s="2"/>
      <c r="L37" s="2"/>
      <c r="M37" s="2"/>
    </row>
    <row r="38" spans="2:13" ht="20.100000000000001" customHeight="1" x14ac:dyDescent="0.25">
      <c r="B38" s="54"/>
      <c r="C38" s="23" t="s">
        <v>34</v>
      </c>
      <c r="D38" s="93"/>
      <c r="E38" s="93"/>
      <c r="F38" s="100">
        <v>0.1</v>
      </c>
      <c r="G38" s="100"/>
      <c r="H38" s="96">
        <f>$H$29*D38*F38</f>
        <v>0</v>
      </c>
      <c r="I38" s="97"/>
      <c r="J38" s="2"/>
      <c r="K38" s="2"/>
      <c r="L38" s="2"/>
      <c r="M38" s="2"/>
    </row>
    <row r="39" spans="2:13" s="68" customFormat="1" ht="20.100000000000001" customHeight="1" thickBot="1" x14ac:dyDescent="0.3">
      <c r="B39" s="69"/>
      <c r="C39" s="70" t="s">
        <v>36</v>
      </c>
      <c r="D39" s="104"/>
      <c r="E39" s="104"/>
      <c r="F39" s="103"/>
      <c r="G39" s="103"/>
      <c r="H39" s="96">
        <f>$H$29*D39*F39</f>
        <v>0</v>
      </c>
      <c r="I39" s="97"/>
      <c r="J39" s="71"/>
      <c r="K39" s="71"/>
      <c r="L39" s="71"/>
      <c r="M39" s="71"/>
    </row>
    <row r="40" spans="2:13" ht="20.100000000000001" customHeight="1" x14ac:dyDescent="0.3">
      <c r="B40" s="2"/>
      <c r="C40" s="2"/>
      <c r="D40" s="2"/>
      <c r="E40" s="2"/>
      <c r="F40" s="2"/>
      <c r="G40" s="2"/>
      <c r="H40" s="88">
        <f>SUM(H35:I39)</f>
        <v>0</v>
      </c>
      <c r="I40" s="88"/>
      <c r="J40" s="2"/>
      <c r="K40" s="2"/>
      <c r="L40" s="2"/>
      <c r="M40" s="2"/>
    </row>
    <row r="41" spans="2:13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2:13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</sheetData>
  <mergeCells count="89">
    <mergeCell ref="D21:E21"/>
    <mergeCell ref="F21:G21"/>
    <mergeCell ref="H21:I21"/>
    <mergeCell ref="D22:E22"/>
    <mergeCell ref="F22:G22"/>
    <mergeCell ref="H22:I22"/>
    <mergeCell ref="D12:E12"/>
    <mergeCell ref="G12:H12"/>
    <mergeCell ref="I12:J12"/>
    <mergeCell ref="B14:I14"/>
    <mergeCell ref="L5:M5"/>
    <mergeCell ref="L6:M6"/>
    <mergeCell ref="D11:E11"/>
    <mergeCell ref="G11:H11"/>
    <mergeCell ref="I11:J11"/>
    <mergeCell ref="K11:M11"/>
    <mergeCell ref="D9:E9"/>
    <mergeCell ref="G9:H9"/>
    <mergeCell ref="I9:J9"/>
    <mergeCell ref="D17:E17"/>
    <mergeCell ref="D34:E34"/>
    <mergeCell ref="B2:M2"/>
    <mergeCell ref="B8:M8"/>
    <mergeCell ref="L3:M3"/>
    <mergeCell ref="L4:M4"/>
    <mergeCell ref="K9:M9"/>
    <mergeCell ref="K10:M10"/>
    <mergeCell ref="D10:E10"/>
    <mergeCell ref="G10:H10"/>
    <mergeCell ref="I10:J10"/>
    <mergeCell ref="K12:M12"/>
    <mergeCell ref="D15:E15"/>
    <mergeCell ref="H15:I15"/>
    <mergeCell ref="F15:G15"/>
    <mergeCell ref="F17:G17"/>
    <mergeCell ref="F18:G18"/>
    <mergeCell ref="F19:G19"/>
    <mergeCell ref="F20:G20"/>
    <mergeCell ref="D18:E18"/>
    <mergeCell ref="D19:E19"/>
    <mergeCell ref="D20:E20"/>
    <mergeCell ref="H37:I37"/>
    <mergeCell ref="D37:E37"/>
    <mergeCell ref="D39:E39"/>
    <mergeCell ref="D16:E16"/>
    <mergeCell ref="F16:G16"/>
    <mergeCell ref="H16:I16"/>
    <mergeCell ref="D23:E23"/>
    <mergeCell ref="D25:E25"/>
    <mergeCell ref="F23:G23"/>
    <mergeCell ref="F25:G25"/>
    <mergeCell ref="H17:I17"/>
    <mergeCell ref="H18:I18"/>
    <mergeCell ref="H19:I19"/>
    <mergeCell ref="H20:I20"/>
    <mergeCell ref="H23:I23"/>
    <mergeCell ref="H25:I25"/>
    <mergeCell ref="H40:I40"/>
    <mergeCell ref="B33:I33"/>
    <mergeCell ref="D35:E35"/>
    <mergeCell ref="D36:E36"/>
    <mergeCell ref="D38:E38"/>
    <mergeCell ref="H35:I35"/>
    <mergeCell ref="H36:I36"/>
    <mergeCell ref="H38:I38"/>
    <mergeCell ref="H39:I39"/>
    <mergeCell ref="F34:G34"/>
    <mergeCell ref="F35:G35"/>
    <mergeCell ref="F36:G36"/>
    <mergeCell ref="F38:G38"/>
    <mergeCell ref="H34:I34"/>
    <mergeCell ref="F37:G37"/>
    <mergeCell ref="F39:G39"/>
    <mergeCell ref="D24:E24"/>
    <mergeCell ref="F24:G24"/>
    <mergeCell ref="H24:I24"/>
    <mergeCell ref="H32:I32"/>
    <mergeCell ref="B32:G32"/>
    <mergeCell ref="H29:I29"/>
    <mergeCell ref="C29:G29"/>
    <mergeCell ref="D26:E26"/>
    <mergeCell ref="F26:G26"/>
    <mergeCell ref="H26:I26"/>
    <mergeCell ref="D27:E27"/>
    <mergeCell ref="F27:G27"/>
    <mergeCell ref="H27:I27"/>
    <mergeCell ref="D28:E28"/>
    <mergeCell ref="F28:G28"/>
    <mergeCell ref="H28:I28"/>
  </mergeCells>
  <pageMargins left="0.25" right="0.23622047244094491" top="0.74803149606299213" bottom="0.74803149606299213" header="0.37" footer="0.31496062992125984"/>
  <pageSetup paperSize="9" scale="76" orientation="portrait" horizontalDpi="360" verticalDpi="360" r:id="rId1"/>
  <headerFooter>
    <oddHeader>&amp;C&amp;"Calibri,Negrita"&amp;14&amp;F / 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8"/>
  <sheetViews>
    <sheetView topLeftCell="A11" workbookViewId="0">
      <selection activeCell="G12" sqref="G12"/>
    </sheetView>
  </sheetViews>
  <sheetFormatPr baseColWidth="10" defaultRowHeight="15" x14ac:dyDescent="0.25"/>
  <cols>
    <col min="7" max="8" width="5.85546875" style="6" customWidth="1"/>
  </cols>
  <sheetData>
    <row r="2" spans="1:9" x14ac:dyDescent="0.25">
      <c r="A2" s="135" t="e">
        <f>#REF!</f>
        <v>#REF!</v>
      </c>
      <c r="B2" s="11" t="e">
        <f>#REF!</f>
        <v>#REF!</v>
      </c>
      <c r="C2" s="12" t="e">
        <f>#REF!</f>
        <v>#REF!</v>
      </c>
      <c r="D2" s="13" t="e">
        <f>#REF!</f>
        <v>#REF!</v>
      </c>
      <c r="E2" s="14" t="e">
        <f>#REF!</f>
        <v>#REF!</v>
      </c>
      <c r="F2" s="13" t="e">
        <f>(B2-(C2*A2*D2))/E2</f>
        <v>#REF!</v>
      </c>
      <c r="G2" s="13" t="e">
        <f>#REF!</f>
        <v>#REF!</v>
      </c>
      <c r="H2" s="13" t="e">
        <f>#REF!</f>
        <v>#REF!</v>
      </c>
      <c r="I2" s="135" t="e">
        <f>F2*G2*H2+F3*G3*H3+F4*G4*H4</f>
        <v>#REF!</v>
      </c>
    </row>
    <row r="3" spans="1:9" x14ac:dyDescent="0.25">
      <c r="A3" s="135"/>
      <c r="B3" s="11" t="e">
        <f>#REF!</f>
        <v>#REF!</v>
      </c>
      <c r="C3" s="12" t="e">
        <f>#REF!</f>
        <v>#REF!</v>
      </c>
      <c r="D3" s="13" t="e">
        <f>#REF!</f>
        <v>#REF!</v>
      </c>
      <c r="E3" s="14" t="e">
        <f>#REF!</f>
        <v>#REF!</v>
      </c>
      <c r="F3" s="13" t="e">
        <f>(B3-(C3*A2*D3))/E3</f>
        <v>#REF!</v>
      </c>
      <c r="G3" s="13" t="e">
        <f>#REF!</f>
        <v>#REF!</v>
      </c>
      <c r="H3" s="13" t="e">
        <f>#REF!</f>
        <v>#REF!</v>
      </c>
      <c r="I3" s="135"/>
    </row>
    <row r="4" spans="1:9" x14ac:dyDescent="0.25">
      <c r="A4" s="135"/>
      <c r="B4" s="11" t="e">
        <f>#REF!</f>
        <v>#REF!</v>
      </c>
      <c r="C4" s="12" t="e">
        <f>#REF!</f>
        <v>#REF!</v>
      </c>
      <c r="D4" s="13" t="e">
        <f>#REF!</f>
        <v>#REF!</v>
      </c>
      <c r="E4" s="14" t="e">
        <f>#REF!</f>
        <v>#REF!</v>
      </c>
      <c r="F4" s="13" t="e">
        <f>(B4-(C4*A2*D4))/E4</f>
        <v>#REF!</v>
      </c>
      <c r="G4" s="13" t="e">
        <f>#REF!</f>
        <v>#REF!</v>
      </c>
      <c r="H4" s="13" t="e">
        <f>#REF!</f>
        <v>#REF!</v>
      </c>
      <c r="I4" s="135"/>
    </row>
    <row r="5" spans="1:9" x14ac:dyDescent="0.25">
      <c r="A5" s="138" t="e">
        <f>#REF!</f>
        <v>#REF!</v>
      </c>
      <c r="B5" s="8" t="e">
        <f>B2</f>
        <v>#REF!</v>
      </c>
      <c r="C5" s="10" t="e">
        <f t="shared" ref="C5:E5" si="0">C2</f>
        <v>#REF!</v>
      </c>
      <c r="D5" s="7" t="e">
        <f t="shared" si="0"/>
        <v>#REF!</v>
      </c>
      <c r="E5" s="9" t="e">
        <f t="shared" si="0"/>
        <v>#REF!</v>
      </c>
      <c r="F5" s="7" t="e">
        <f>(B5-(C5*A5*D5))/E5</f>
        <v>#REF!</v>
      </c>
      <c r="G5" s="7" t="e">
        <f>G2</f>
        <v>#REF!</v>
      </c>
      <c r="H5" s="7" t="e">
        <f>H2</f>
        <v>#REF!</v>
      </c>
      <c r="I5" s="136" t="e">
        <f>F5*G5*H5+F6*G6*H6+F7*G7*H7</f>
        <v>#REF!</v>
      </c>
    </row>
    <row r="6" spans="1:9" x14ac:dyDescent="0.25">
      <c r="A6" s="138"/>
      <c r="B6" s="8" t="e">
        <f t="shared" ref="B6:E6" si="1">B3</f>
        <v>#REF!</v>
      </c>
      <c r="C6" s="10" t="e">
        <f t="shared" si="1"/>
        <v>#REF!</v>
      </c>
      <c r="D6" s="7" t="e">
        <f t="shared" si="1"/>
        <v>#REF!</v>
      </c>
      <c r="E6" s="9" t="e">
        <f t="shared" si="1"/>
        <v>#REF!</v>
      </c>
      <c r="F6" s="7" t="e">
        <f>(B6-(C6*A5*D6))/E6</f>
        <v>#REF!</v>
      </c>
      <c r="G6" s="7" t="e">
        <f t="shared" ref="G6:H28" si="2">G3</f>
        <v>#REF!</v>
      </c>
      <c r="H6" s="7" t="e">
        <f t="shared" si="2"/>
        <v>#REF!</v>
      </c>
      <c r="I6" s="136"/>
    </row>
    <row r="7" spans="1:9" x14ac:dyDescent="0.25">
      <c r="A7" s="138"/>
      <c r="B7" s="8" t="e">
        <f t="shared" ref="B7:E7" si="3">B4</f>
        <v>#REF!</v>
      </c>
      <c r="C7" s="10" t="e">
        <f t="shared" si="3"/>
        <v>#REF!</v>
      </c>
      <c r="D7" s="7" t="e">
        <f t="shared" si="3"/>
        <v>#REF!</v>
      </c>
      <c r="E7" s="9" t="e">
        <f t="shared" si="3"/>
        <v>#REF!</v>
      </c>
      <c r="F7" s="7" t="e">
        <f>(B7-(C7*A5*D7))/E7</f>
        <v>#REF!</v>
      </c>
      <c r="G7" s="7" t="e">
        <f t="shared" si="2"/>
        <v>#REF!</v>
      </c>
      <c r="H7" s="7" t="e">
        <f t="shared" si="2"/>
        <v>#REF!</v>
      </c>
      <c r="I7" s="136"/>
    </row>
    <row r="8" spans="1:9" x14ac:dyDescent="0.25">
      <c r="A8" s="135" t="e">
        <f>#REF!</f>
        <v>#REF!</v>
      </c>
      <c r="B8" s="11" t="e">
        <f>B5</f>
        <v>#REF!</v>
      </c>
      <c r="C8" s="12" t="e">
        <f t="shared" ref="C8:E8" si="4">C5</f>
        <v>#REF!</v>
      </c>
      <c r="D8" s="13" t="e">
        <f t="shared" si="4"/>
        <v>#REF!</v>
      </c>
      <c r="E8" s="14" t="e">
        <f t="shared" si="4"/>
        <v>#REF!</v>
      </c>
      <c r="F8" s="13" t="e">
        <f>(B8-(C8*A8*D8))/E8</f>
        <v>#REF!</v>
      </c>
      <c r="G8" s="13" t="e">
        <f t="shared" si="2"/>
        <v>#REF!</v>
      </c>
      <c r="H8" s="13" t="e">
        <f t="shared" si="2"/>
        <v>#REF!</v>
      </c>
      <c r="I8" s="135" t="e">
        <f t="shared" ref="I8" si="5">F8*G8*H8+F9*G9*H9+F10*G10*H10</f>
        <v>#REF!</v>
      </c>
    </row>
    <row r="9" spans="1:9" x14ac:dyDescent="0.25">
      <c r="A9" s="135"/>
      <c r="B9" s="11" t="e">
        <f t="shared" ref="B9:E9" si="6">B6</f>
        <v>#REF!</v>
      </c>
      <c r="C9" s="12" t="e">
        <f t="shared" si="6"/>
        <v>#REF!</v>
      </c>
      <c r="D9" s="13" t="e">
        <f t="shared" si="6"/>
        <v>#REF!</v>
      </c>
      <c r="E9" s="14" t="e">
        <f t="shared" si="6"/>
        <v>#REF!</v>
      </c>
      <c r="F9" s="13" t="e">
        <f>(B9-(C9*A8*D9))/E9</f>
        <v>#REF!</v>
      </c>
      <c r="G9" s="13" t="e">
        <f t="shared" si="2"/>
        <v>#REF!</v>
      </c>
      <c r="H9" s="13" t="e">
        <f t="shared" si="2"/>
        <v>#REF!</v>
      </c>
      <c r="I9" s="135"/>
    </row>
    <row r="10" spans="1:9" x14ac:dyDescent="0.25">
      <c r="A10" s="135"/>
      <c r="B10" s="11" t="e">
        <f t="shared" ref="B10:E10" si="7">B7</f>
        <v>#REF!</v>
      </c>
      <c r="C10" s="12" t="e">
        <f t="shared" si="7"/>
        <v>#REF!</v>
      </c>
      <c r="D10" s="13" t="e">
        <f t="shared" si="7"/>
        <v>#REF!</v>
      </c>
      <c r="E10" s="14" t="e">
        <f t="shared" si="7"/>
        <v>#REF!</v>
      </c>
      <c r="F10" s="13" t="e">
        <f>(B10-(C10*A8*D10))/E10</f>
        <v>#REF!</v>
      </c>
      <c r="G10" s="13" t="e">
        <f t="shared" si="2"/>
        <v>#REF!</v>
      </c>
      <c r="H10" s="13" t="e">
        <f t="shared" si="2"/>
        <v>#REF!</v>
      </c>
      <c r="I10" s="135"/>
    </row>
    <row r="11" spans="1:9" x14ac:dyDescent="0.25">
      <c r="A11" s="138" t="e">
        <f>#REF!</f>
        <v>#REF!</v>
      </c>
      <c r="B11" s="8" t="e">
        <f>B8</f>
        <v>#REF!</v>
      </c>
      <c r="C11" s="10" t="e">
        <f t="shared" ref="C11:E11" si="8">C8</f>
        <v>#REF!</v>
      </c>
      <c r="D11" s="7" t="e">
        <f t="shared" si="8"/>
        <v>#REF!</v>
      </c>
      <c r="E11" s="9" t="e">
        <f t="shared" si="8"/>
        <v>#REF!</v>
      </c>
      <c r="F11" s="7" t="e">
        <f>(B11-(C11*A11*D11))/E11</f>
        <v>#REF!</v>
      </c>
      <c r="G11" s="7" t="e">
        <f t="shared" si="2"/>
        <v>#REF!</v>
      </c>
      <c r="H11" s="7" t="e">
        <f t="shared" si="2"/>
        <v>#REF!</v>
      </c>
      <c r="I11" s="136" t="e">
        <f t="shared" ref="I11" si="9">F11*G11*H11+F12*G12*H12+F13*G13*H13</f>
        <v>#REF!</v>
      </c>
    </row>
    <row r="12" spans="1:9" x14ac:dyDescent="0.25">
      <c r="A12" s="138"/>
      <c r="B12" s="8" t="e">
        <f t="shared" ref="B12:E12" si="10">B9</f>
        <v>#REF!</v>
      </c>
      <c r="C12" s="10" t="e">
        <f t="shared" si="10"/>
        <v>#REF!</v>
      </c>
      <c r="D12" s="7" t="e">
        <f t="shared" si="10"/>
        <v>#REF!</v>
      </c>
      <c r="E12" s="9" t="e">
        <f t="shared" si="10"/>
        <v>#REF!</v>
      </c>
      <c r="F12" s="7" t="e">
        <f>(B12-(C12*A11*D12))/E12</f>
        <v>#REF!</v>
      </c>
      <c r="G12" s="7" t="e">
        <f t="shared" si="2"/>
        <v>#REF!</v>
      </c>
      <c r="H12" s="7" t="e">
        <f t="shared" si="2"/>
        <v>#REF!</v>
      </c>
      <c r="I12" s="136"/>
    </row>
    <row r="13" spans="1:9" x14ac:dyDescent="0.25">
      <c r="A13" s="138"/>
      <c r="B13" s="8" t="e">
        <f t="shared" ref="B13:E13" si="11">B10</f>
        <v>#REF!</v>
      </c>
      <c r="C13" s="10" t="e">
        <f t="shared" si="11"/>
        <v>#REF!</v>
      </c>
      <c r="D13" s="7" t="e">
        <f t="shared" si="11"/>
        <v>#REF!</v>
      </c>
      <c r="E13" s="9" t="e">
        <f t="shared" si="11"/>
        <v>#REF!</v>
      </c>
      <c r="F13" s="7" t="e">
        <f>(B13-(C13*A11*D13))/E13</f>
        <v>#REF!</v>
      </c>
      <c r="G13" s="7" t="e">
        <f t="shared" si="2"/>
        <v>#REF!</v>
      </c>
      <c r="H13" s="7" t="e">
        <f t="shared" si="2"/>
        <v>#REF!</v>
      </c>
      <c r="I13" s="136"/>
    </row>
    <row r="14" spans="1:9" x14ac:dyDescent="0.25">
      <c r="A14" s="137" t="e">
        <f>#REF!</f>
        <v>#REF!</v>
      </c>
      <c r="B14" s="15" t="e">
        <f>B11</f>
        <v>#REF!</v>
      </c>
      <c r="C14" s="16" t="e">
        <f t="shared" ref="C14:E14" si="12">C11</f>
        <v>#REF!</v>
      </c>
      <c r="D14" s="17" t="e">
        <f t="shared" si="12"/>
        <v>#REF!</v>
      </c>
      <c r="E14" s="18" t="e">
        <f t="shared" si="12"/>
        <v>#REF!</v>
      </c>
      <c r="F14" s="17" t="e">
        <f>(B14-(C14*A14*D14))/E14</f>
        <v>#REF!</v>
      </c>
      <c r="G14" s="17" t="e">
        <f t="shared" si="2"/>
        <v>#REF!</v>
      </c>
      <c r="H14" s="17" t="e">
        <f t="shared" si="2"/>
        <v>#REF!</v>
      </c>
      <c r="I14" s="137" t="e">
        <f t="shared" ref="I14" si="13">F14*G14*H14+F15*G15*H15+F16*G16*H16</f>
        <v>#REF!</v>
      </c>
    </row>
    <row r="15" spans="1:9" x14ac:dyDescent="0.25">
      <c r="A15" s="137"/>
      <c r="B15" s="15" t="e">
        <f t="shared" ref="B15:E15" si="14">B12</f>
        <v>#REF!</v>
      </c>
      <c r="C15" s="16" t="e">
        <f t="shared" si="14"/>
        <v>#REF!</v>
      </c>
      <c r="D15" s="17" t="e">
        <f t="shared" si="14"/>
        <v>#REF!</v>
      </c>
      <c r="E15" s="18" t="e">
        <f t="shared" si="14"/>
        <v>#REF!</v>
      </c>
      <c r="F15" s="17" t="e">
        <f>(B15-(C15*A14*D15))/E15</f>
        <v>#REF!</v>
      </c>
      <c r="G15" s="17" t="e">
        <f t="shared" si="2"/>
        <v>#REF!</v>
      </c>
      <c r="H15" s="17" t="e">
        <f t="shared" si="2"/>
        <v>#REF!</v>
      </c>
      <c r="I15" s="137"/>
    </row>
    <row r="16" spans="1:9" x14ac:dyDescent="0.25">
      <c r="A16" s="137"/>
      <c r="B16" s="15" t="e">
        <f t="shared" ref="B16:E16" si="15">B13</f>
        <v>#REF!</v>
      </c>
      <c r="C16" s="16" t="e">
        <f t="shared" si="15"/>
        <v>#REF!</v>
      </c>
      <c r="D16" s="17" t="e">
        <f t="shared" si="15"/>
        <v>#REF!</v>
      </c>
      <c r="E16" s="18" t="e">
        <f t="shared" si="15"/>
        <v>#REF!</v>
      </c>
      <c r="F16" s="17" t="e">
        <f>(B16-(C16*A14*D16))/E16</f>
        <v>#REF!</v>
      </c>
      <c r="G16" s="17" t="e">
        <f t="shared" si="2"/>
        <v>#REF!</v>
      </c>
      <c r="H16" s="17" t="e">
        <f t="shared" si="2"/>
        <v>#REF!</v>
      </c>
      <c r="I16" s="137"/>
    </row>
    <row r="17" spans="1:9" x14ac:dyDescent="0.25">
      <c r="A17" s="138" t="e">
        <f>#REF!</f>
        <v>#REF!</v>
      </c>
      <c r="B17" s="8" t="e">
        <f>B14</f>
        <v>#REF!</v>
      </c>
      <c r="C17" s="10" t="e">
        <f t="shared" ref="C17:E17" si="16">C14</f>
        <v>#REF!</v>
      </c>
      <c r="D17" s="7" t="e">
        <f t="shared" si="16"/>
        <v>#REF!</v>
      </c>
      <c r="E17" s="9" t="e">
        <f t="shared" si="16"/>
        <v>#REF!</v>
      </c>
      <c r="F17" s="7" t="e">
        <f>(B17-(C17*A17*D17))/E17</f>
        <v>#REF!</v>
      </c>
      <c r="G17" s="7" t="e">
        <f t="shared" si="2"/>
        <v>#REF!</v>
      </c>
      <c r="H17" s="7" t="e">
        <f t="shared" si="2"/>
        <v>#REF!</v>
      </c>
      <c r="I17" s="136" t="e">
        <f t="shared" ref="I17" si="17">F17*G17*H17+F18*G18*H18+F19*G19*H19</f>
        <v>#REF!</v>
      </c>
    </row>
    <row r="18" spans="1:9" x14ac:dyDescent="0.25">
      <c r="A18" s="138"/>
      <c r="B18" s="8" t="e">
        <f t="shared" ref="B18:E18" si="18">B15</f>
        <v>#REF!</v>
      </c>
      <c r="C18" s="10" t="e">
        <f t="shared" si="18"/>
        <v>#REF!</v>
      </c>
      <c r="D18" s="7" t="e">
        <f t="shared" si="18"/>
        <v>#REF!</v>
      </c>
      <c r="E18" s="9" t="e">
        <f t="shared" si="18"/>
        <v>#REF!</v>
      </c>
      <c r="F18" s="7" t="e">
        <f>(B18-(C18*A17*D18))/E18</f>
        <v>#REF!</v>
      </c>
      <c r="G18" s="7" t="e">
        <f t="shared" si="2"/>
        <v>#REF!</v>
      </c>
      <c r="H18" s="7" t="e">
        <f t="shared" si="2"/>
        <v>#REF!</v>
      </c>
      <c r="I18" s="136"/>
    </row>
    <row r="19" spans="1:9" x14ac:dyDescent="0.25">
      <c r="A19" s="138"/>
      <c r="B19" s="8" t="e">
        <f t="shared" ref="B19:E19" si="19">B16</f>
        <v>#REF!</v>
      </c>
      <c r="C19" s="10" t="e">
        <f t="shared" si="19"/>
        <v>#REF!</v>
      </c>
      <c r="D19" s="7" t="e">
        <f t="shared" si="19"/>
        <v>#REF!</v>
      </c>
      <c r="E19" s="9" t="e">
        <f t="shared" si="19"/>
        <v>#REF!</v>
      </c>
      <c r="F19" s="7" t="e">
        <f>(B19-(C19*A17*D19))/E19</f>
        <v>#REF!</v>
      </c>
      <c r="G19" s="7" t="e">
        <f t="shared" si="2"/>
        <v>#REF!</v>
      </c>
      <c r="H19" s="7" t="e">
        <f t="shared" si="2"/>
        <v>#REF!</v>
      </c>
      <c r="I19" s="136"/>
    </row>
    <row r="20" spans="1:9" x14ac:dyDescent="0.25">
      <c r="A20" s="135" t="e">
        <f>#REF!</f>
        <v>#REF!</v>
      </c>
      <c r="B20" s="11" t="e">
        <f>B17</f>
        <v>#REF!</v>
      </c>
      <c r="C20" s="12" t="e">
        <f t="shared" ref="C20:E20" si="20">C17</f>
        <v>#REF!</v>
      </c>
      <c r="D20" s="13" t="e">
        <f t="shared" si="20"/>
        <v>#REF!</v>
      </c>
      <c r="E20" s="14" t="e">
        <f t="shared" si="20"/>
        <v>#REF!</v>
      </c>
      <c r="F20" s="13" t="e">
        <f>(B20-(C20*A20*D20))/E20</f>
        <v>#REF!</v>
      </c>
      <c r="G20" s="13" t="e">
        <f t="shared" si="2"/>
        <v>#REF!</v>
      </c>
      <c r="H20" s="13" t="e">
        <f t="shared" si="2"/>
        <v>#REF!</v>
      </c>
      <c r="I20" s="135" t="e">
        <f t="shared" ref="I20" si="21">F20*G20*H20+F21*G21*H21+F22*G22*H22</f>
        <v>#REF!</v>
      </c>
    </row>
    <row r="21" spans="1:9" x14ac:dyDescent="0.25">
      <c r="A21" s="135"/>
      <c r="B21" s="11" t="e">
        <f t="shared" ref="B21:E21" si="22">B18</f>
        <v>#REF!</v>
      </c>
      <c r="C21" s="12" t="e">
        <f t="shared" si="22"/>
        <v>#REF!</v>
      </c>
      <c r="D21" s="13" t="e">
        <f t="shared" si="22"/>
        <v>#REF!</v>
      </c>
      <c r="E21" s="14" t="e">
        <f t="shared" si="22"/>
        <v>#REF!</v>
      </c>
      <c r="F21" s="13" t="e">
        <f>(B21-(C21*A20*D21))/E21</f>
        <v>#REF!</v>
      </c>
      <c r="G21" s="13" t="e">
        <f t="shared" si="2"/>
        <v>#REF!</v>
      </c>
      <c r="H21" s="13" t="e">
        <f t="shared" si="2"/>
        <v>#REF!</v>
      </c>
      <c r="I21" s="135"/>
    </row>
    <row r="22" spans="1:9" x14ac:dyDescent="0.25">
      <c r="A22" s="135"/>
      <c r="B22" s="11" t="e">
        <f t="shared" ref="B22:E22" si="23">B19</f>
        <v>#REF!</v>
      </c>
      <c r="C22" s="12" t="e">
        <f t="shared" si="23"/>
        <v>#REF!</v>
      </c>
      <c r="D22" s="13" t="e">
        <f t="shared" si="23"/>
        <v>#REF!</v>
      </c>
      <c r="E22" s="14" t="e">
        <f t="shared" si="23"/>
        <v>#REF!</v>
      </c>
      <c r="F22" s="13" t="e">
        <f>(B22-(C22*A20*D22))/E22</f>
        <v>#REF!</v>
      </c>
      <c r="G22" s="13" t="e">
        <f t="shared" si="2"/>
        <v>#REF!</v>
      </c>
      <c r="H22" s="13" t="e">
        <f t="shared" si="2"/>
        <v>#REF!</v>
      </c>
      <c r="I22" s="135"/>
    </row>
    <row r="23" spans="1:9" x14ac:dyDescent="0.25">
      <c r="A23" s="138" t="e">
        <f>#REF!</f>
        <v>#REF!</v>
      </c>
      <c r="B23" s="8" t="e">
        <f>B20</f>
        <v>#REF!</v>
      </c>
      <c r="C23" s="10" t="e">
        <f t="shared" ref="C23:E23" si="24">C20</f>
        <v>#REF!</v>
      </c>
      <c r="D23" s="7" t="e">
        <f t="shared" si="24"/>
        <v>#REF!</v>
      </c>
      <c r="E23" s="9" t="e">
        <f t="shared" si="24"/>
        <v>#REF!</v>
      </c>
      <c r="F23" s="7" t="e">
        <f>(B23-(C23*A23*D23))/E23</f>
        <v>#REF!</v>
      </c>
      <c r="G23" s="7" t="e">
        <f t="shared" si="2"/>
        <v>#REF!</v>
      </c>
      <c r="H23" s="7" t="e">
        <f t="shared" si="2"/>
        <v>#REF!</v>
      </c>
      <c r="I23" s="136" t="e">
        <f t="shared" ref="I23" si="25">F23*G23*H23+F24*G24*H24+F25*G25*H25</f>
        <v>#REF!</v>
      </c>
    </row>
    <row r="24" spans="1:9" x14ac:dyDescent="0.25">
      <c r="A24" s="138"/>
      <c r="B24" s="8" t="e">
        <f t="shared" ref="B24:E24" si="26">B21</f>
        <v>#REF!</v>
      </c>
      <c r="C24" s="10" t="e">
        <f t="shared" si="26"/>
        <v>#REF!</v>
      </c>
      <c r="D24" s="7" t="e">
        <f t="shared" si="26"/>
        <v>#REF!</v>
      </c>
      <c r="E24" s="9" t="e">
        <f t="shared" si="26"/>
        <v>#REF!</v>
      </c>
      <c r="F24" s="7" t="e">
        <f>(B24-(C24*A23*D24))/E24</f>
        <v>#REF!</v>
      </c>
      <c r="G24" s="7" t="e">
        <f t="shared" si="2"/>
        <v>#REF!</v>
      </c>
      <c r="H24" s="7" t="e">
        <f t="shared" si="2"/>
        <v>#REF!</v>
      </c>
      <c r="I24" s="136"/>
    </row>
    <row r="25" spans="1:9" x14ac:dyDescent="0.25">
      <c r="A25" s="138"/>
      <c r="B25" s="8" t="e">
        <f t="shared" ref="B25:E25" si="27">B22</f>
        <v>#REF!</v>
      </c>
      <c r="C25" s="10" t="e">
        <f t="shared" si="27"/>
        <v>#REF!</v>
      </c>
      <c r="D25" s="7" t="e">
        <f t="shared" si="27"/>
        <v>#REF!</v>
      </c>
      <c r="E25" s="9" t="e">
        <f t="shared" si="27"/>
        <v>#REF!</v>
      </c>
      <c r="F25" s="7" t="e">
        <f>(B25-(C25*A23*D25))/E25</f>
        <v>#REF!</v>
      </c>
      <c r="G25" s="7" t="e">
        <f t="shared" si="2"/>
        <v>#REF!</v>
      </c>
      <c r="H25" s="7" t="e">
        <f t="shared" si="2"/>
        <v>#REF!</v>
      </c>
      <c r="I25" s="136"/>
    </row>
    <row r="26" spans="1:9" x14ac:dyDescent="0.25">
      <c r="A26" s="135" t="e">
        <f>#REF!</f>
        <v>#REF!</v>
      </c>
      <c r="B26" s="11" t="e">
        <f>B23</f>
        <v>#REF!</v>
      </c>
      <c r="C26" s="12" t="e">
        <f t="shared" ref="C26:E26" si="28">C23</f>
        <v>#REF!</v>
      </c>
      <c r="D26" s="13" t="e">
        <f t="shared" si="28"/>
        <v>#REF!</v>
      </c>
      <c r="E26" s="14" t="e">
        <f t="shared" si="28"/>
        <v>#REF!</v>
      </c>
      <c r="F26" s="13" t="e">
        <f>(B26-(C26*A26*D26))/E26</f>
        <v>#REF!</v>
      </c>
      <c r="G26" s="13" t="e">
        <f t="shared" si="2"/>
        <v>#REF!</v>
      </c>
      <c r="H26" s="13" t="e">
        <f t="shared" si="2"/>
        <v>#REF!</v>
      </c>
      <c r="I26" s="135" t="e">
        <f t="shared" ref="I26" si="29">F26*G26*H26+F27*G27*H27+F28*G28*H28</f>
        <v>#REF!</v>
      </c>
    </row>
    <row r="27" spans="1:9" x14ac:dyDescent="0.25">
      <c r="A27" s="135"/>
      <c r="B27" s="11" t="e">
        <f t="shared" ref="B27:E27" si="30">B24</f>
        <v>#REF!</v>
      </c>
      <c r="C27" s="12" t="e">
        <f t="shared" si="30"/>
        <v>#REF!</v>
      </c>
      <c r="D27" s="13" t="e">
        <f t="shared" si="30"/>
        <v>#REF!</v>
      </c>
      <c r="E27" s="14" t="e">
        <f t="shared" si="30"/>
        <v>#REF!</v>
      </c>
      <c r="F27" s="13" t="e">
        <f>(B27-(C27*A26*D27))/E27</f>
        <v>#REF!</v>
      </c>
      <c r="G27" s="13" t="e">
        <f t="shared" si="2"/>
        <v>#REF!</v>
      </c>
      <c r="H27" s="13" t="e">
        <f t="shared" si="2"/>
        <v>#REF!</v>
      </c>
      <c r="I27" s="135"/>
    </row>
    <row r="28" spans="1:9" x14ac:dyDescent="0.25">
      <c r="A28" s="135"/>
      <c r="B28" s="11" t="e">
        <f t="shared" ref="B28:E28" si="31">B25</f>
        <v>#REF!</v>
      </c>
      <c r="C28" s="12" t="e">
        <f t="shared" si="31"/>
        <v>#REF!</v>
      </c>
      <c r="D28" s="13" t="e">
        <f t="shared" si="31"/>
        <v>#REF!</v>
      </c>
      <c r="E28" s="14" t="e">
        <f t="shared" si="31"/>
        <v>#REF!</v>
      </c>
      <c r="F28" s="13" t="e">
        <f>(B28-(C28*A26*D28))/E28</f>
        <v>#REF!</v>
      </c>
      <c r="G28" s="13" t="e">
        <f t="shared" si="2"/>
        <v>#REF!</v>
      </c>
      <c r="H28" s="13" t="e">
        <f t="shared" si="2"/>
        <v>#REF!</v>
      </c>
      <c r="I28" s="135"/>
    </row>
  </sheetData>
  <sheetProtection password="C1BF" sheet="1" objects="1" scenarios="1"/>
  <mergeCells count="18">
    <mergeCell ref="A14:A16"/>
    <mergeCell ref="A8:A10"/>
    <mergeCell ref="A20:A22"/>
    <mergeCell ref="A2:A4"/>
    <mergeCell ref="A26:A28"/>
    <mergeCell ref="A23:A25"/>
    <mergeCell ref="A5:A7"/>
    <mergeCell ref="A11:A13"/>
    <mergeCell ref="A17:A19"/>
    <mergeCell ref="I2:I4"/>
    <mergeCell ref="I8:I10"/>
    <mergeCell ref="I20:I22"/>
    <mergeCell ref="I26:I28"/>
    <mergeCell ref="I23:I25"/>
    <mergeCell ref="I17:I19"/>
    <mergeCell ref="I11:I13"/>
    <mergeCell ref="I14:I16"/>
    <mergeCell ref="I5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DPTOS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barbiini@hotmail.com</cp:lastModifiedBy>
  <cp:lastPrinted>2016-04-15T17:53:32Z</cp:lastPrinted>
  <dcterms:created xsi:type="dcterms:W3CDTF">2013-08-13T18:59:03Z</dcterms:created>
  <dcterms:modified xsi:type="dcterms:W3CDTF">2018-03-09T13:23:03Z</dcterms:modified>
</cp:coreProperties>
</file>